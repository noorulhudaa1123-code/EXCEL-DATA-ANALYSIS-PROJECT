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quest Tracker" sheetId="2" state="visible" r:id="rId4"/>
    <sheet name="Team" sheetId="3" state="visible" r:id="rId5"/>
    <sheet name="Lists" sheetId="4" state="visible" r:id="rId6"/>
    <sheet name="How To Use" sheetId="5" state="visible" r:id="rId7"/>
  </sheets>
  <definedNames>
    <definedName function="false" hidden="true" localSheetId="1" name="_xlnm._FilterDatabase" vbProcedure="false">'Request Tracker'!$A$5:$T$65</definedName>
    <definedName function="false" hidden="false" name="AsOf" vbProcedure="false">Dashboard!$C$3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Leave blank to use today's date. Type a date (e.g. 30-Oct-2026) to test overdue and SLA logic.</t>
        </r>
      </text>
    </comment>
  </commentList>
</comments>
</file>

<file path=xl/sharedStrings.xml><?xml version="1.0" encoding="utf-8"?>
<sst xmlns="http://schemas.openxmlformats.org/spreadsheetml/2006/main" count="449" uniqueCount="210">
  <si>
    <t xml:space="preserve">Digital Banking Request Dashboard</t>
  </si>
  <si>
    <t xml:space="preserve">As-of date used</t>
  </si>
  <si>
    <t xml:space="preserve">Fictional data for portfolio purposes. All figures calculate from the Request Tracker sheet.</t>
  </si>
  <si>
    <t xml:space="preserve">Override date (optional)</t>
  </si>
  <si>
    <t xml:space="preserve">Total Requests</t>
  </si>
  <si>
    <t xml:space="preserve">Open Requests</t>
  </si>
  <si>
    <t xml:space="preserve">Overdue</t>
  </si>
  <si>
    <t xml:space="preserve">Due Soon</t>
  </si>
  <si>
    <t xml:space="preserve">High Priority Open</t>
  </si>
  <si>
    <t xml:space="preserve">SLA Compliance</t>
  </si>
  <si>
    <t xml:space="preserve">Avg Turnaround (days)</t>
  </si>
  <si>
    <t xml:space="preserve">Completion Rate</t>
  </si>
  <si>
    <t xml:space="preserve">1. Requests by Priority and Status</t>
  </si>
  <si>
    <t xml:space="preserve">Priority</t>
  </si>
  <si>
    <t xml:space="preserve">Pending</t>
  </si>
  <si>
    <t xml:space="preserve">In Progress</t>
  </si>
  <si>
    <t xml:space="preserve">Completed</t>
  </si>
  <si>
    <t xml:space="preserve">Total</t>
  </si>
  <si>
    <t xml:space="preserve">High</t>
  </si>
  <si>
    <t xml:space="preserve">Medium</t>
  </si>
  <si>
    <t xml:space="preserve">Low</t>
  </si>
  <si>
    <t xml:space="preserve">2. Performance by Department</t>
  </si>
  <si>
    <t xml:space="preserve">Department</t>
  </si>
  <si>
    <t xml:space="preserve">Open</t>
  </si>
  <si>
    <t xml:space="preserve">SLA Met %</t>
  </si>
  <si>
    <t xml:space="preserve">3. Assignee Workload vs Capacity</t>
  </si>
  <si>
    <t xml:space="preserve">Assignee</t>
  </si>
  <si>
    <t xml:space="preserve">Capacity</t>
  </si>
  <si>
    <t xml:space="preserve">Utilization</t>
  </si>
  <si>
    <t xml:space="preserve">4. Aging of Open Requests</t>
  </si>
  <si>
    <t xml:space="preserve">Age Bucket</t>
  </si>
  <si>
    <t xml:space="preserve">0 to 3 days</t>
  </si>
  <si>
    <t xml:space="preserve">4 to 7 days</t>
  </si>
  <si>
    <t xml:space="preserve">8 to 14 days</t>
  </si>
  <si>
    <t xml:space="preserve">15+ days</t>
  </si>
  <si>
    <t xml:space="preserve">5. Top 5 Requests at Risk (open, ranked by risk score)</t>
  </si>
  <si>
    <t xml:space="preserve">Request</t>
  </si>
  <si>
    <t xml:space="preserve">Assigned To</t>
  </si>
  <si>
    <t xml:space="preserve">Deadline</t>
  </si>
  <si>
    <t xml:space="preserve">Flag</t>
  </si>
  <si>
    <t xml:space="preserve">Risk Score</t>
  </si>
  <si>
    <t xml:space="preserve">Row #</t>
  </si>
  <si>
    <t xml:space="preserve">6. Data Quality Checks</t>
  </si>
  <si>
    <t xml:space="preserve">Check</t>
  </si>
  <si>
    <t xml:space="preserve">Rows Flagged</t>
  </si>
  <si>
    <t xml:space="preserve">Missing completion date</t>
  </si>
  <si>
    <t xml:space="preserve">Completion date on open request</t>
  </si>
  <si>
    <t xml:space="preserve">Deadline before raised</t>
  </si>
  <si>
    <t xml:space="preserve">Overall</t>
  </si>
  <si>
    <t xml:space="preserve">Digital Banking Team Request Tracker</t>
  </si>
  <si>
    <t xml:space="preserve">Fictional data for portfolio purposes.</t>
  </si>
  <si>
    <t xml:space="preserve">Edit only the yellow-shaded columns A to J. Columns K to T calculate automatically (column S is a hidden sort helper).</t>
  </si>
  <si>
    <t xml:space="preserve">As-of date:</t>
  </si>
  <si>
    <t xml:space="preserve">Request ID</t>
  </si>
  <si>
    <t xml:space="preserve">Date Raised</t>
  </si>
  <si>
    <t xml:space="preserve">Request Type</t>
  </si>
  <si>
    <t xml:space="preserve">Status</t>
  </si>
  <si>
    <t xml:space="preserve">Completed On</t>
  </si>
  <si>
    <t xml:space="preserve">SLA (days)</t>
  </si>
  <si>
    <t xml:space="preserve">SLA Target</t>
  </si>
  <si>
    <t xml:space="preserve">Days Left</t>
  </si>
  <si>
    <t xml:space="preserve">Turnaround (days)</t>
  </si>
  <si>
    <t xml:space="preserve">Age (days)</t>
  </si>
  <si>
    <t xml:space="preserve">SLA Status</t>
  </si>
  <si>
    <t xml:space="preserve">Sort Key</t>
  </si>
  <si>
    <t xml:space="preserve">Data Check</t>
  </si>
  <si>
    <t xml:space="preserve">DB-001</t>
  </si>
  <si>
    <t xml:space="preserve">IT</t>
  </si>
  <si>
    <t xml:space="preserve">Access Request</t>
  </si>
  <si>
    <t xml:space="preserve">Access request</t>
  </si>
  <si>
    <t xml:space="preserve">Hamza Malik</t>
  </si>
  <si>
    <t xml:space="preserve">DB-002</t>
  </si>
  <si>
    <t xml:space="preserve">Operations</t>
  </si>
  <si>
    <t xml:space="preserve">Report</t>
  </si>
  <si>
    <t xml:space="preserve">Report preparation</t>
  </si>
  <si>
    <t xml:space="preserve">Sana Raza</t>
  </si>
  <si>
    <t xml:space="preserve">DB-003</t>
  </si>
  <si>
    <t xml:space="preserve">Digital Banking</t>
  </si>
  <si>
    <t xml:space="preserve">Testing Support</t>
  </si>
  <si>
    <t xml:space="preserve">Testing support</t>
  </si>
  <si>
    <t xml:space="preserve">Ayesha Khan</t>
  </si>
  <si>
    <t xml:space="preserve">DB-004</t>
  </si>
  <si>
    <t xml:space="preserve">Compliance</t>
  </si>
  <si>
    <t xml:space="preserve">Compliance Review</t>
  </si>
  <si>
    <t xml:space="preserve">KYC process review</t>
  </si>
  <si>
    <t xml:space="preserve">Bilal Ahmed</t>
  </si>
  <si>
    <t xml:space="preserve">DB-005</t>
  </si>
  <si>
    <t xml:space="preserve">Customer Support</t>
  </si>
  <si>
    <t xml:space="preserve">Documentation</t>
  </si>
  <si>
    <t xml:space="preserve">Mobile app FAQ update</t>
  </si>
  <si>
    <t xml:space="preserve">Fatima Noor</t>
  </si>
  <si>
    <t xml:space="preserve">DB-006</t>
  </si>
  <si>
    <t xml:space="preserve">Incident Fix</t>
  </si>
  <si>
    <t xml:space="preserve">Password reset flow fix</t>
  </si>
  <si>
    <t xml:space="preserve">DB-007</t>
  </si>
  <si>
    <t xml:space="preserve">Daily transaction summary</t>
  </si>
  <si>
    <t xml:space="preserve">DB-008</t>
  </si>
  <si>
    <t xml:space="preserve">UAT test case documentation</t>
  </si>
  <si>
    <t xml:space="preserve">Omar Siddiqui</t>
  </si>
  <si>
    <t xml:space="preserve">DB-009</t>
  </si>
  <si>
    <t xml:space="preserve">Risk</t>
  </si>
  <si>
    <t xml:space="preserve">Fraud alert threshold review</t>
  </si>
  <si>
    <t xml:space="preserve">Usman Tariq</t>
  </si>
  <si>
    <t xml:space="preserve">DB-010</t>
  </si>
  <si>
    <t xml:space="preserve">Marketing</t>
  </si>
  <si>
    <t xml:space="preserve">Mobile banking launch banner copy</t>
  </si>
  <si>
    <t xml:space="preserve">DB-011</t>
  </si>
  <si>
    <t xml:space="preserve">Finance</t>
  </si>
  <si>
    <t xml:space="preserve">Monthly fee income report</t>
  </si>
  <si>
    <t xml:space="preserve">Zainab Ali</t>
  </si>
  <si>
    <t xml:space="preserve">DB-012</t>
  </si>
  <si>
    <t xml:space="preserve">API access for payments team</t>
  </si>
  <si>
    <t xml:space="preserve">DB-013</t>
  </si>
  <si>
    <t xml:space="preserve">Complaint log analysis</t>
  </si>
  <si>
    <t xml:space="preserve">DB-014</t>
  </si>
  <si>
    <t xml:space="preserve">Internet banking user guide</t>
  </si>
  <si>
    <t xml:space="preserve">DB-015</t>
  </si>
  <si>
    <t xml:space="preserve">Audit evidence collection</t>
  </si>
  <si>
    <t xml:space="preserve">DB-016</t>
  </si>
  <si>
    <t xml:space="preserve">Change Request</t>
  </si>
  <si>
    <t xml:space="preserve">Add OTP timeout parameter</t>
  </si>
  <si>
    <t xml:space="preserve">DB-017</t>
  </si>
  <si>
    <t xml:space="preserve">Failed fund transfer reconciliation</t>
  </si>
  <si>
    <t xml:space="preserve">DB-018</t>
  </si>
  <si>
    <t xml:space="preserve">Biometric login rollout checklist</t>
  </si>
  <si>
    <t xml:space="preserve">DB-019</t>
  </si>
  <si>
    <t xml:space="preserve">Weekly suspicious activity summary</t>
  </si>
  <si>
    <t xml:space="preserve">DB-020</t>
  </si>
  <si>
    <t xml:space="preserve">Digital channel fee reconciliation</t>
  </si>
  <si>
    <t xml:space="preserve">DB-021</t>
  </si>
  <si>
    <t xml:space="preserve">Mobile app crash complaint triage</t>
  </si>
  <si>
    <t xml:space="preserve">DB-022</t>
  </si>
  <si>
    <t xml:space="preserve">Update app store screenshots</t>
  </si>
  <si>
    <t xml:space="preserve">DB-023</t>
  </si>
  <si>
    <t xml:space="preserve">Test environment access for UAT team</t>
  </si>
  <si>
    <t xml:space="preserve">DB-024</t>
  </si>
  <si>
    <t xml:space="preserve">Branch operations SOP update</t>
  </si>
  <si>
    <t xml:space="preserve">DB-025</t>
  </si>
  <si>
    <t xml:space="preserve">Monthly AML metrics report</t>
  </si>
  <si>
    <t xml:space="preserve">DB-026</t>
  </si>
  <si>
    <t xml:space="preserve">Regression testing for bill payment</t>
  </si>
  <si>
    <t xml:space="preserve">DB-027</t>
  </si>
  <si>
    <t xml:space="preserve">Budget note for digital initiatives</t>
  </si>
  <si>
    <t xml:space="preserve">DB-028</t>
  </si>
  <si>
    <t xml:space="preserve">Transaction limit rule change</t>
  </si>
  <si>
    <t xml:space="preserve">DB-029</t>
  </si>
  <si>
    <t xml:space="preserve">Chatbot response script review</t>
  </si>
  <si>
    <t xml:space="preserve">DB-030</t>
  </si>
  <si>
    <t xml:space="preserve">SMS gateway delay investigation</t>
  </si>
  <si>
    <t xml:space="preserve">DB-031</t>
  </si>
  <si>
    <t xml:space="preserve">Update cut-off time settings</t>
  </si>
  <si>
    <t xml:space="preserve">DB-032</t>
  </si>
  <si>
    <t xml:space="preserve">Accessibility testing for mobile app</t>
  </si>
  <si>
    <t xml:space="preserve">DB-033</t>
  </si>
  <si>
    <t xml:space="preserve">Auditor read-only dashboard access</t>
  </si>
  <si>
    <t xml:space="preserve">DB-034</t>
  </si>
  <si>
    <t xml:space="preserve">Campaign performance snapshot</t>
  </si>
  <si>
    <t xml:space="preserve">DB-035</t>
  </si>
  <si>
    <t xml:space="preserve">Vendor payment control review</t>
  </si>
  <si>
    <t xml:space="preserve">DB-036</t>
  </si>
  <si>
    <t xml:space="preserve">Fraud tool admin access</t>
  </si>
  <si>
    <t xml:space="preserve">DB-037</t>
  </si>
  <si>
    <t xml:space="preserve">Login error escalation log</t>
  </si>
  <si>
    <t xml:space="preserve">DB-038</t>
  </si>
  <si>
    <t xml:space="preserve">Month-end digital volume report</t>
  </si>
  <si>
    <t xml:space="preserve">DB-039</t>
  </si>
  <si>
    <t xml:space="preserve">Release notes for app v2.4</t>
  </si>
  <si>
    <t xml:space="preserve">DB-040</t>
  </si>
  <si>
    <t xml:space="preserve">Server patch window schedule</t>
  </si>
  <si>
    <t xml:space="preserve">DB-041</t>
  </si>
  <si>
    <t xml:space="preserve">DB-042</t>
  </si>
  <si>
    <t xml:space="preserve">DB-043</t>
  </si>
  <si>
    <t xml:space="preserve">DB-044</t>
  </si>
  <si>
    <t xml:space="preserve">DB-045</t>
  </si>
  <si>
    <t xml:space="preserve">DB-046</t>
  </si>
  <si>
    <t xml:space="preserve">DB-047</t>
  </si>
  <si>
    <t xml:space="preserve">DB-048</t>
  </si>
  <si>
    <t xml:space="preserve">DB-049</t>
  </si>
  <si>
    <t xml:space="preserve">DB-050</t>
  </si>
  <si>
    <t xml:space="preserve">DB-051</t>
  </si>
  <si>
    <t xml:space="preserve">DB-052</t>
  </si>
  <si>
    <t xml:space="preserve">DB-053</t>
  </si>
  <si>
    <t xml:space="preserve">DB-054</t>
  </si>
  <si>
    <t xml:space="preserve">DB-055</t>
  </si>
  <si>
    <t xml:space="preserve">DB-056</t>
  </si>
  <si>
    <t xml:space="preserve">DB-057</t>
  </si>
  <si>
    <t xml:space="preserve">DB-058</t>
  </si>
  <si>
    <t xml:space="preserve">DB-059</t>
  </si>
  <si>
    <t xml:space="preserve">DB-060</t>
  </si>
  <si>
    <t xml:space="preserve">Team Roster and Capacity (fictional)</t>
  </si>
  <si>
    <t xml:space="preserve">Capacity = maximum open requests a person can reasonably handle at once.</t>
  </si>
  <si>
    <t xml:space="preserve">Name</t>
  </si>
  <si>
    <t xml:space="preserve">Reference Lists and Assumptions</t>
  </si>
  <si>
    <t xml:space="preserve">Assumption: SLA working days and priority weights are fictional values chosen for this portfolio project.</t>
  </si>
  <si>
    <t xml:space="preserve">SLA (working days)</t>
  </si>
  <si>
    <t xml:space="preserve">Weight</t>
  </si>
  <si>
    <t xml:space="preserve">Due Soon window (days)</t>
  </si>
  <si>
    <t xml:space="preserve">Flag logic: OVERDUE if deadline &lt; as-of date; Due Soon if within the window above.</t>
  </si>
  <si>
    <t xml:space="preserve">How to use this tracker</t>
  </si>
  <si>
    <t xml:space="preserve">Sheets: Dashboard (summary and charts), Request Tracker (data entry), Team (roster and capacity), Lists (dropdown values and assumptions).</t>
  </si>
  <si>
    <t xml:space="preserve">1. Add a new request in the next empty row of 'Request Tracker'. Fill only the yellow columns A to J; the rest calculates.</t>
  </si>
  <si>
    <t xml:space="preserve">2. Use the dropdowns for Department, Request Type, Priority, Status and Assigned To. Deadline cannot be earlier than Date Raised.</t>
  </si>
  <si>
    <t xml:space="preserve">3. SLA target = Date Raised plus the priority's SLA working days (Mon to Fri), set on the Lists sheet.</t>
  </si>
  <si>
    <t xml:space="preserve">4. Flag: Done / Done (Late) / OVERDUE / Due Soon / On Track. SLA Status: Met / Missed for completed, Within SLA / Breached for open.</t>
  </si>
  <si>
    <t xml:space="preserve">5. Risk Score = priority weight (3/2/1) x urgency (3 overdue, 2 due soon, 1 otherwise). Completed requests score 0.</t>
  </si>
  <si>
    <t xml:space="preserve">6. Data Check flags rows with inconsistent dates or status; results roll up to the Dashboard (section 6).</t>
  </si>
  <si>
    <t xml:space="preserve">7. To test the logic, type a date into the yellow cell C4 on the Dashboard. Clear it to return to today's date.</t>
  </si>
  <si>
    <t xml:space="preserve">8. Use the filter arrows on the Request Tracker header row to sort or filter, e.g. Flag = OVERDUE or Assigned To = one person.</t>
  </si>
  <si>
    <t xml:space="preserve">Colour guide on tracker rows: red = overdue, amber = due soon, green = completed.</t>
  </si>
  <si>
    <t xml:space="preserve">All data is fictional and created for portfolio purposes.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</si>
</sst>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"/>
    <numFmt numFmtId="167" formatCode="0%"/>
    <numFmt numFmtId="168" formatCode="0.0"/>
    <numFmt numFmtId="169" formatCode="General"/>
    <numFmt numFmtId="170" formatCode="dd\ mmm"/>
    <numFmt numFmtId="171" formatCode="0.0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E2EFDA"/>
      </patternFill>
    </fill>
    <fill>
      <patternFill patternType="solid">
        <fgColor rgb="FF1F3864"/>
        <bgColor rgb="FF2F5597"/>
      </patternFill>
    </fill>
    <fill>
      <patternFill patternType="solid">
        <fgColor rgb="FF595959"/>
        <bgColor rgb="FF37562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  <sz val="20"/>
      </font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</font>
      <fill>
        <patternFill>
          <bgColor rgb="FFF4B08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C0504D"/>
      <rgbColor rgb="FFFFF9D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4B084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Dashboard!$C$10:$E$10</c:f>
              <c:strCache>
                <c:ptCount val="3"/>
                <c:pt idx="0">
                  <c:v>Pending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Dashboard!$C$14:$E$14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</c:ser>
        <c:gapWidth val="150"/>
        <c:overlap val="0"/>
        <c:axId val="21792429"/>
        <c:axId val="57186192"/>
      </c:barChart>
      <c:catAx>
        <c:axId val="21792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86192"/>
        <c:crosses val="autoZero"/>
        <c:auto val="1"/>
        <c:lblAlgn val="ctr"/>
        <c:lblOffset val="100"/>
        <c:noMultiLvlLbl val="0"/>
      </c:catAx>
      <c:valAx>
        <c:axId val="571861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92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vs Overdue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Dashboard!D17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Dashboard!$B$18:$B$25</c:f>
              <c:strCache>
                <c:ptCount val="8"/>
                <c:pt idx="0">
                  <c:v>IT</c:v>
                </c:pt>
                <c:pt idx="1">
                  <c:v>Operations</c:v>
                </c:pt>
                <c:pt idx="2">
                  <c:v>Digital Banking</c:v>
                </c:pt>
                <c:pt idx="3">
                  <c:v>Compliance</c:v>
                </c:pt>
                <c:pt idx="4">
                  <c:v>Customer Support</c:v>
                </c:pt>
                <c:pt idx="5">
                  <c:v>Risk</c:v>
                </c:pt>
                <c:pt idx="6">
                  <c:v>Marketing</c:v>
                </c:pt>
                <c:pt idx="7">
                  <c:v>Finance</c:v>
                </c:pt>
              </c:strCache>
            </c:strRef>
          </c:cat>
          <c:val>
            <c:numRef>
              <c:f>Dashboard!$D$18:$D$25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Dashboard!E17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Dashboard!$B$18:$B$25</c:f>
              <c:strCache>
                <c:ptCount val="8"/>
                <c:pt idx="0">
                  <c:v>IT</c:v>
                </c:pt>
                <c:pt idx="1">
                  <c:v>Operations</c:v>
                </c:pt>
                <c:pt idx="2">
                  <c:v>Digital Banking</c:v>
                </c:pt>
                <c:pt idx="3">
                  <c:v>Compliance</c:v>
                </c:pt>
                <c:pt idx="4">
                  <c:v>Customer Support</c:v>
                </c:pt>
                <c:pt idx="5">
                  <c:v>Risk</c:v>
                </c:pt>
                <c:pt idx="6">
                  <c:v>Marketing</c:v>
                </c:pt>
                <c:pt idx="7">
                  <c:v>Finance</c:v>
                </c:pt>
              </c:strCache>
            </c:strRef>
          </c:cat>
          <c:val>
            <c:numRef>
              <c:f>Dashboard!$E$18:$E$25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5380376"/>
        <c:axId val="89283137"/>
      </c:barChart>
      <c:catAx>
        <c:axId val="9538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83137"/>
        <c:crosses val="autoZero"/>
        <c:auto val="1"/>
        <c:lblAlgn val="ctr"/>
        <c:lblOffset val="100"/>
        <c:noMultiLvlLbl val="0"/>
      </c:catAx>
      <c:valAx>
        <c:axId val="89283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803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Requests vs Capacity by Assignee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Dashboard!D29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Dashboard!$B$30:$B$37</c:f>
              <c:strCache>
                <c:ptCount val="8"/>
                <c:pt idx="0">
                  <c:v>Ayesha Khan</c:v>
                </c:pt>
                <c:pt idx="1">
                  <c:v>Hamza Malik</c:v>
                </c:pt>
                <c:pt idx="2">
                  <c:v>Sana Raza</c:v>
                </c:pt>
                <c:pt idx="3">
                  <c:v>Bilal Ahmed</c:v>
                </c:pt>
                <c:pt idx="4">
                  <c:v>Fatima Noor</c:v>
                </c:pt>
                <c:pt idx="5">
                  <c:v>Usman Tariq</c:v>
                </c:pt>
                <c:pt idx="6">
                  <c:v>Zainab Ali</c:v>
                </c:pt>
                <c:pt idx="7">
                  <c:v>Omar Siddiqui</c:v>
                </c:pt>
              </c:strCache>
            </c:strRef>
          </c:cat>
          <c:val>
            <c:numRef>
              <c:f>Dashboard!$D$30:$D$37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Dashboard!F29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Dashboard!$B$30:$B$37</c:f>
              <c:strCache>
                <c:ptCount val="8"/>
                <c:pt idx="0">
                  <c:v>Ayesha Khan</c:v>
                </c:pt>
                <c:pt idx="1">
                  <c:v>Hamza Malik</c:v>
                </c:pt>
                <c:pt idx="2">
                  <c:v>Sana Raza</c:v>
                </c:pt>
                <c:pt idx="3">
                  <c:v>Bilal Ahmed</c:v>
                </c:pt>
                <c:pt idx="4">
                  <c:v>Fatima Noor</c:v>
                </c:pt>
                <c:pt idx="5">
                  <c:v>Usman Tariq</c:v>
                </c:pt>
                <c:pt idx="6">
                  <c:v>Zainab Ali</c:v>
                </c:pt>
                <c:pt idx="7">
                  <c:v>Omar Siddiqui</c:v>
                </c:pt>
              </c:strCache>
            </c:strRef>
          </c:cat>
          <c:val>
            <c:numRef>
              <c:f>Dashboard!$F$30:$F$37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</c:numCache>
            </c:numRef>
          </c:val>
        </c:ser>
        <c:gapWidth val="150"/>
        <c:overlap val="0"/>
        <c:axId val="38580560"/>
        <c:axId val="91491505"/>
      </c:barChart>
      <c:catAx>
        <c:axId val="385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91505"/>
        <c:crosses val="autoZero"/>
        <c:auto val="1"/>
        <c:lblAlgn val="ctr"/>
        <c:lblOffset val="100"/>
        <c:noMultiLvlLbl val="0"/>
      </c:catAx>
      <c:valAx>
        <c:axId val="91491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805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of Open Requests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Dashboard!C40</c:f>
              <c:strCache>
                <c:ptCount val="1"/>
                <c:pt idx="0">
                  <c:v>Open Requests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Dashboard!$B$41:$B$44</c:f>
              <c:strCache>
                <c:ptCount val="4"/>
                <c:pt idx="0">
                  <c:v>0 to 3 days</c:v>
                </c:pt>
                <c:pt idx="1">
                  <c:v>4 to 7 days</c:v>
                </c:pt>
                <c:pt idx="2">
                  <c:v>8 to 14 days</c:v>
                </c:pt>
                <c:pt idx="3">
                  <c:v>15+ days</c:v>
                </c:pt>
              </c:strCache>
            </c:strRef>
          </c:cat>
          <c:val>
            <c:numRef>
              <c:f>Dashboard!$C$41:$C$44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7272582"/>
        <c:axId val="17532080"/>
      </c:barChart>
      <c:catAx>
        <c:axId val="47272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32080"/>
        <c:crosses val="autoZero"/>
        <c:auto val="1"/>
        <c:lblAlgn val="ctr"/>
        <c:lblOffset val="100"/>
        <c:noMultiLvlLbl val="0"/>
      </c:catAx>
      <c:valAx>
        <c:axId val="17532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72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7</xdr:row>
      <xdr:rowOff>100800</xdr:rowOff>
    </xdr:from>
    <xdr:to>
      <xdr:col>20</xdr:col>
      <xdr:colOff>4680</xdr:colOff>
      <xdr:row>20</xdr:row>
      <xdr:rowOff>105480</xdr:rowOff>
    </xdr:to>
    <xdr:graphicFrame>
      <xdr:nvGraphicFramePr>
        <xdr:cNvPr id="0" name="Chart 1"/>
        <xdr:cNvGraphicFramePr/>
      </xdr:nvGraphicFramePr>
      <xdr:xfrm>
        <a:off x="10690920" y="200016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23</xdr:row>
      <xdr:rowOff>36720</xdr:rowOff>
    </xdr:from>
    <xdr:to>
      <xdr:col>20</xdr:col>
      <xdr:colOff>4680</xdr:colOff>
      <xdr:row>37</xdr:row>
      <xdr:rowOff>105480</xdr:rowOff>
    </xdr:to>
    <xdr:graphicFrame>
      <xdr:nvGraphicFramePr>
        <xdr:cNvPr id="1" name="Chart 2"/>
        <xdr:cNvGraphicFramePr/>
      </xdr:nvGraphicFramePr>
      <xdr:xfrm>
        <a:off x="10690920" y="523872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40</xdr:row>
      <xdr:rowOff>36720</xdr:rowOff>
    </xdr:from>
    <xdr:to>
      <xdr:col>20</xdr:col>
      <xdr:colOff>4680</xdr:colOff>
      <xdr:row>56</xdr:row>
      <xdr:rowOff>84600</xdr:rowOff>
    </xdr:to>
    <xdr:graphicFrame>
      <xdr:nvGraphicFramePr>
        <xdr:cNvPr id="2" name="Chart 3"/>
        <xdr:cNvGraphicFramePr/>
      </xdr:nvGraphicFramePr>
      <xdr:xfrm>
        <a:off x="10690920" y="8477280"/>
        <a:ext cx="61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59</xdr:row>
      <xdr:rowOff>36720</xdr:rowOff>
    </xdr:from>
    <xdr:to>
      <xdr:col>20</xdr:col>
      <xdr:colOff>4680</xdr:colOff>
      <xdr:row>73</xdr:row>
      <xdr:rowOff>105480</xdr:rowOff>
    </xdr:to>
    <xdr:graphicFrame>
      <xdr:nvGraphicFramePr>
        <xdr:cNvPr id="3" name="Chart 4"/>
        <xdr:cNvGraphicFramePr/>
      </xdr:nvGraphicFramePr>
      <xdr:xfrm>
        <a:off x="10690920" y="1209672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6" min="4" style="0" width="15"/>
    <col collapsed="false" customWidth="true" hidden="false" outlineLevel="0" max="9" min="7" style="0" width="14"/>
  </cols>
  <sheetData>
    <row r="1" customFormat="false" ht="22.0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n">
        <f aca="true">IF(ISNUMBER(C4),C4,TODAY())</f>
        <v>46321</v>
      </c>
      <c r="E3" s="4" t="s">
        <v>2</v>
      </c>
    </row>
    <row r="4" customFormat="false" ht="15" hidden="false" customHeight="false" outlineLevel="0" collapsed="false">
      <c r="B4" s="2" t="s">
        <v>3</v>
      </c>
      <c r="C4" s="5"/>
    </row>
    <row r="6" customFormat="false" ht="30" hidden="false" customHeight="true" outlineLevel="0" collapsed="false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</row>
    <row r="7" customFormat="false" ht="37.5" hidden="false" customHeight="true" outlineLevel="0" collapsed="false">
      <c r="B7" s="7" t="n">
        <f aca="false">COUNT('Request Tracker'!$B$6:$B$65)</f>
        <v>40</v>
      </c>
      <c r="C7" s="7" t="n">
        <f aca="false">COUNTIFS('Request Tracker'!$B$6:$B$65,"&gt;0",'Request Tracker'!$G$6:$G$65,"&lt;&gt;Completed")</f>
        <v>25</v>
      </c>
      <c r="D7" s="7" t="n">
        <f aca="false">COUNTIF('Request Tracker'!$P$6:$P$65,"OVERDUE")</f>
        <v>4</v>
      </c>
      <c r="E7" s="7" t="n">
        <f aca="false">COUNTIF('Request Tracker'!$P$6:$P$65,"Due Soon")</f>
        <v>7</v>
      </c>
      <c r="F7" s="7" t="n">
        <f aca="false">COUNTIFS('Request Tracker'!$F$6:$F$65,"High",'Request Tracker'!$G$6:$G$65,"&lt;&gt;Completed",'Request Tracker'!$B$6:$B$65,"&gt;0")</f>
        <v>10</v>
      </c>
      <c r="G7" s="8" t="n">
        <f aca="false">IFERROR(COUNTIF('Request Tracker'!$Q$6:$Q$65,"Met")/(COUNTIF('Request Tracker'!$Q$6:$Q$65,"Met")+COUNTIF('Request Tracker'!$Q$6:$Q$65,"Missed")),0)</f>
        <v>0.733333333333333</v>
      </c>
      <c r="H7" s="9" t="n">
        <f aca="false">IFERROR(AVERAGE('Request Tracker'!$N$6:$N$65),0)</f>
        <v>6</v>
      </c>
      <c r="I7" s="8" t="n">
        <f aca="false">IF(B7=0,0,COUNTIF('Request Tracker'!$G$6:$G$65,"Completed")/B7)</f>
        <v>0.375</v>
      </c>
    </row>
    <row r="9" customFormat="false" ht="15" hidden="false" customHeight="false" outlineLevel="0" collapsed="false">
      <c r="B9" s="10" t="s">
        <v>12</v>
      </c>
    </row>
    <row r="10" customFormat="false" ht="15" hidden="false" customHeight="false" outlineLevel="0" collapsed="false"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6</v>
      </c>
    </row>
    <row r="11" customFormat="false" ht="15" hidden="false" customHeight="false" outlineLevel="0" collapsed="false">
      <c r="B11" s="12" t="s">
        <v>18</v>
      </c>
      <c r="C11" s="13" t="n">
        <f aca="false">COUNTIFS('Request Tracker'!$F$6:$F$65,$B11,'Request Tracker'!$G$6:$G$65,C$10)</f>
        <v>6</v>
      </c>
      <c r="D11" s="13" t="n">
        <f aca="false">COUNTIFS('Request Tracker'!$F$6:$F$65,$B11,'Request Tracker'!$G$6:$G$65,D$10)</f>
        <v>4</v>
      </c>
      <c r="E11" s="13" t="n">
        <f aca="false">COUNTIFS('Request Tracker'!$F$6:$F$65,$B11,'Request Tracker'!$G$6:$G$65,E$10)</f>
        <v>5</v>
      </c>
      <c r="F11" s="14" t="n">
        <f aca="false">SUM(C11:E11)</f>
        <v>15</v>
      </c>
      <c r="G11" s="13" t="n">
        <f aca="false">COUNTIFS('Request Tracker'!$F$6:$F$65,$B11,'Request Tracker'!$P$6:$P$65,"OVERDUE")</f>
        <v>2</v>
      </c>
    </row>
    <row r="12" customFormat="false" ht="15" hidden="false" customHeight="false" outlineLevel="0" collapsed="false">
      <c r="B12" s="12" t="s">
        <v>19</v>
      </c>
      <c r="C12" s="13" t="n">
        <f aca="false">COUNTIFS('Request Tracker'!$F$6:$F$65,$B12,'Request Tracker'!$G$6:$G$65,C$10)</f>
        <v>4</v>
      </c>
      <c r="D12" s="13" t="n">
        <f aca="false">COUNTIFS('Request Tracker'!$F$6:$F$65,$B12,'Request Tracker'!$G$6:$G$65,D$10)</f>
        <v>5</v>
      </c>
      <c r="E12" s="13" t="n">
        <f aca="false">COUNTIFS('Request Tracker'!$F$6:$F$65,$B12,'Request Tracker'!$G$6:$G$65,E$10)</f>
        <v>8</v>
      </c>
      <c r="F12" s="14" t="n">
        <f aca="false">SUM(C12:E12)</f>
        <v>17</v>
      </c>
      <c r="G12" s="13" t="n">
        <f aca="false">COUNTIFS('Request Tracker'!$F$6:$F$65,$B12,'Request Tracker'!$P$6:$P$65,"OVERDUE")</f>
        <v>0</v>
      </c>
    </row>
    <row r="13" customFormat="false" ht="15" hidden="false" customHeight="false" outlineLevel="0" collapsed="false">
      <c r="B13" s="12" t="s">
        <v>20</v>
      </c>
      <c r="C13" s="13" t="n">
        <f aca="false">COUNTIFS('Request Tracker'!$F$6:$F$65,$B13,'Request Tracker'!$G$6:$G$65,C$10)</f>
        <v>3</v>
      </c>
      <c r="D13" s="13" t="n">
        <f aca="false">COUNTIFS('Request Tracker'!$F$6:$F$65,$B13,'Request Tracker'!$G$6:$G$65,D$10)</f>
        <v>3</v>
      </c>
      <c r="E13" s="13" t="n">
        <f aca="false">COUNTIFS('Request Tracker'!$F$6:$F$65,$B13,'Request Tracker'!$G$6:$G$65,E$10)</f>
        <v>2</v>
      </c>
      <c r="F13" s="14" t="n">
        <f aca="false">SUM(C13:E13)</f>
        <v>8</v>
      </c>
      <c r="G13" s="13" t="n">
        <f aca="false">COUNTIFS('Request Tracker'!$F$6:$F$65,$B13,'Request Tracker'!$P$6:$P$65,"OVERDUE")</f>
        <v>2</v>
      </c>
    </row>
    <row r="14" customFormat="false" ht="15" hidden="false" customHeight="false" outlineLevel="0" collapsed="false">
      <c r="B14" s="15" t="s">
        <v>17</v>
      </c>
      <c r="C14" s="14" t="n">
        <f aca="false">SUM(C11:C13)</f>
        <v>13</v>
      </c>
      <c r="D14" s="14" t="n">
        <f aca="false">SUM(D11:D13)</f>
        <v>12</v>
      </c>
      <c r="E14" s="14" t="n">
        <f aca="false">SUM(E11:E13)</f>
        <v>15</v>
      </c>
      <c r="F14" s="14" t="n">
        <f aca="false">SUM(F11:F13)</f>
        <v>40</v>
      </c>
      <c r="G14" s="14" t="n">
        <f aca="false">SUM(G11:G13)</f>
        <v>4</v>
      </c>
    </row>
    <row r="16" customFormat="false" ht="15" hidden="false" customHeight="false" outlineLevel="0" collapsed="false">
      <c r="B16" s="10" t="s">
        <v>21</v>
      </c>
    </row>
    <row r="17" customFormat="false" ht="35.05" hidden="false" customHeight="false" outlineLevel="0" collapsed="false">
      <c r="B17" s="11" t="s">
        <v>22</v>
      </c>
      <c r="C17" s="11" t="s">
        <v>17</v>
      </c>
      <c r="D17" s="11" t="s">
        <v>23</v>
      </c>
      <c r="E17" s="11" t="s">
        <v>6</v>
      </c>
      <c r="F17" s="11" t="s">
        <v>24</v>
      </c>
      <c r="G17" s="11" t="s">
        <v>10</v>
      </c>
    </row>
    <row r="18" customFormat="false" ht="15" hidden="false" customHeight="false" outlineLevel="0" collapsed="false">
      <c r="B18" s="12" t="str">
        <f aca="false">Lists!G5</f>
        <v>IT</v>
      </c>
      <c r="C18" s="13" t="n">
        <f aca="false">COUNTIFS('Request Tracker'!$C$6:$C$65,$B18,'Request Tracker'!$B$6:$B$65,"&gt;0")</f>
        <v>7</v>
      </c>
      <c r="D18" s="13" t="n">
        <f aca="false">COUNTIFS('Request Tracker'!$C$6:$C$65,$B18,'Request Tracker'!$G$6:$G$65,"&lt;&gt;Completed",'Request Tracker'!$B$6:$B$65,"&gt;0")</f>
        <v>3</v>
      </c>
      <c r="E18" s="13" t="n">
        <f aca="false">COUNTIFS('Request Tracker'!$C$6:$C$65,$B18,'Request Tracker'!$P$6:$P$65,"OVERDUE")</f>
        <v>1</v>
      </c>
      <c r="F18" s="16" t="n">
        <f aca="false">IFERROR(COUNTIFS('Request Tracker'!$C$6:$C$65,$B18,'Request Tracker'!$Q$6:$Q$65,"Met")/(COUNTIFS('Request Tracker'!$C$6:$C$65,$B18,'Request Tracker'!$Q$6:$Q$65,"Met")+COUNTIFS('Request Tracker'!$C$6:$C$65,$B18,'Request Tracker'!$Q$6:$Q$65,"Missed")),"-")</f>
        <v>1</v>
      </c>
      <c r="G18" s="17" t="n">
        <f aca="false">IFERROR(AVERAGEIFS('Request Tracker'!$N$6:$N$65,'Request Tracker'!$C$6:$C$65,$B18),"-")</f>
        <v>5</v>
      </c>
    </row>
    <row r="19" customFormat="false" ht="15" hidden="false" customHeight="false" outlineLevel="0" collapsed="false">
      <c r="B19" s="12" t="str">
        <f aca="false">Lists!G6</f>
        <v>Operations</v>
      </c>
      <c r="C19" s="13" t="n">
        <f aca="false">COUNTIFS('Request Tracker'!$C$6:$C$65,$B19,'Request Tracker'!$B$6:$B$65,"&gt;0")</f>
        <v>6</v>
      </c>
      <c r="D19" s="13" t="n">
        <f aca="false">COUNTIFS('Request Tracker'!$C$6:$C$65,$B19,'Request Tracker'!$G$6:$G$65,"&lt;&gt;Completed",'Request Tracker'!$B$6:$B$65,"&gt;0")</f>
        <v>4</v>
      </c>
      <c r="E19" s="13" t="n">
        <f aca="false">COUNTIFS('Request Tracker'!$C$6:$C$65,$B19,'Request Tracker'!$P$6:$P$65,"OVERDUE")</f>
        <v>1</v>
      </c>
      <c r="F19" s="16" t="n">
        <f aca="false">IFERROR(COUNTIFS('Request Tracker'!$C$6:$C$65,$B19,'Request Tracker'!$Q$6:$Q$65,"Met")/(COUNTIFS('Request Tracker'!$C$6:$C$65,$B19,'Request Tracker'!$Q$6:$Q$65,"Met")+COUNTIFS('Request Tracker'!$C$6:$C$65,$B19,'Request Tracker'!$Q$6:$Q$65,"Missed")),"-")</f>
        <v>1</v>
      </c>
      <c r="G19" s="17" t="n">
        <f aca="false">IFERROR(AVERAGEIFS('Request Tracker'!$N$6:$N$65,'Request Tracker'!$C$6:$C$65,$B19),"-")</f>
        <v>3.5</v>
      </c>
    </row>
    <row r="20" customFormat="false" ht="15" hidden="false" customHeight="false" outlineLevel="0" collapsed="false">
      <c r="B20" s="12" t="str">
        <f aca="false">Lists!G7</f>
        <v>Digital Banking</v>
      </c>
      <c r="C20" s="13" t="n">
        <f aca="false">COUNTIFS('Request Tracker'!$C$6:$C$65,$B20,'Request Tracker'!$B$6:$B$65,"&gt;0")</f>
        <v>7</v>
      </c>
      <c r="D20" s="13" t="n">
        <f aca="false">COUNTIFS('Request Tracker'!$C$6:$C$65,$B20,'Request Tracker'!$G$6:$G$65,"&lt;&gt;Completed",'Request Tracker'!$B$6:$B$65,"&gt;0")</f>
        <v>4</v>
      </c>
      <c r="E20" s="13" t="n">
        <f aca="false">COUNTIFS('Request Tracker'!$C$6:$C$65,$B20,'Request Tracker'!$P$6:$P$65,"OVERDUE")</f>
        <v>0</v>
      </c>
      <c r="F20" s="16" t="n">
        <f aca="false">IFERROR(COUNTIFS('Request Tracker'!$C$6:$C$65,$B20,'Request Tracker'!$Q$6:$Q$65,"Met")/(COUNTIFS('Request Tracker'!$C$6:$C$65,$B20,'Request Tracker'!$Q$6:$Q$65,"Met")+COUNTIFS('Request Tracker'!$C$6:$C$65,$B20,'Request Tracker'!$Q$6:$Q$65,"Missed")),"-")</f>
        <v>0.666666666666667</v>
      </c>
      <c r="G20" s="17" t="n">
        <f aca="false">IFERROR(AVERAGEIFS('Request Tracker'!$N$6:$N$65,'Request Tracker'!$C$6:$C$65,$B20),"-")</f>
        <v>4.66666666666667</v>
      </c>
    </row>
    <row r="21" customFormat="false" ht="15" hidden="false" customHeight="false" outlineLevel="0" collapsed="false">
      <c r="B21" s="12" t="str">
        <f aca="false">Lists!G8</f>
        <v>Compliance</v>
      </c>
      <c r="C21" s="13" t="n">
        <f aca="false">COUNTIFS('Request Tracker'!$C$6:$C$65,$B21,'Request Tracker'!$B$6:$B$65,"&gt;0")</f>
        <v>4</v>
      </c>
      <c r="D21" s="13" t="n">
        <f aca="false">COUNTIFS('Request Tracker'!$C$6:$C$65,$B21,'Request Tracker'!$G$6:$G$65,"&lt;&gt;Completed",'Request Tracker'!$B$6:$B$65,"&gt;0")</f>
        <v>2</v>
      </c>
      <c r="E21" s="13" t="n">
        <f aca="false">COUNTIFS('Request Tracker'!$C$6:$C$65,$B21,'Request Tracker'!$P$6:$P$65,"OVERDUE")</f>
        <v>0</v>
      </c>
      <c r="F21" s="16" t="n">
        <f aca="false">IFERROR(COUNTIFS('Request Tracker'!$C$6:$C$65,$B21,'Request Tracker'!$Q$6:$Q$65,"Met")/(COUNTIFS('Request Tracker'!$C$6:$C$65,$B21,'Request Tracker'!$Q$6:$Q$65,"Met")+COUNTIFS('Request Tracker'!$C$6:$C$65,$B21,'Request Tracker'!$Q$6:$Q$65,"Missed")),"-")</f>
        <v>1</v>
      </c>
      <c r="G21" s="17" t="n">
        <f aca="false">IFERROR(AVERAGEIFS('Request Tracker'!$N$6:$N$65,'Request Tracker'!$C$6:$C$65,$B21),"-")</f>
        <v>6.5</v>
      </c>
    </row>
    <row r="22" customFormat="false" ht="15" hidden="false" customHeight="false" outlineLevel="0" collapsed="false">
      <c r="B22" s="12" t="str">
        <f aca="false">Lists!G9</f>
        <v>Customer Support</v>
      </c>
      <c r="C22" s="13" t="n">
        <f aca="false">COUNTIFS('Request Tracker'!$C$6:$C$65,$B22,'Request Tracker'!$B$6:$B$65,"&gt;0")</f>
        <v>5</v>
      </c>
      <c r="D22" s="13" t="n">
        <f aca="false">COUNTIFS('Request Tracker'!$C$6:$C$65,$B22,'Request Tracker'!$G$6:$G$65,"&lt;&gt;Completed",'Request Tracker'!$B$6:$B$65,"&gt;0")</f>
        <v>4</v>
      </c>
      <c r="E22" s="13" t="n">
        <f aca="false">COUNTIFS('Request Tracker'!$C$6:$C$65,$B22,'Request Tracker'!$P$6:$P$65,"OVERDUE")</f>
        <v>0</v>
      </c>
      <c r="F22" s="16" t="n">
        <f aca="false">IFERROR(COUNTIFS('Request Tracker'!$C$6:$C$65,$B22,'Request Tracker'!$Q$6:$Q$65,"Met")/(COUNTIFS('Request Tracker'!$C$6:$C$65,$B22,'Request Tracker'!$Q$6:$Q$65,"Met")+COUNTIFS('Request Tracker'!$C$6:$C$65,$B22,'Request Tracker'!$Q$6:$Q$65,"Missed")),"-")</f>
        <v>0</v>
      </c>
      <c r="G22" s="17" t="n">
        <f aca="false">IFERROR(AVERAGEIFS('Request Tracker'!$N$6:$N$65,'Request Tracker'!$C$6:$C$65,$B22),"-")</f>
        <v>3</v>
      </c>
    </row>
    <row r="23" customFormat="false" ht="15" hidden="false" customHeight="false" outlineLevel="0" collapsed="false">
      <c r="B23" s="12" t="str">
        <f aca="false">Lists!G10</f>
        <v>Risk</v>
      </c>
      <c r="C23" s="13" t="n">
        <f aca="false">COUNTIFS('Request Tracker'!$C$6:$C$65,$B23,'Request Tracker'!$B$6:$B$65,"&gt;0")</f>
        <v>4</v>
      </c>
      <c r="D23" s="13" t="n">
        <f aca="false">COUNTIFS('Request Tracker'!$C$6:$C$65,$B23,'Request Tracker'!$G$6:$G$65,"&lt;&gt;Completed",'Request Tracker'!$B$6:$B$65,"&gt;0")</f>
        <v>3</v>
      </c>
      <c r="E23" s="13" t="n">
        <f aca="false">COUNTIFS('Request Tracker'!$C$6:$C$65,$B23,'Request Tracker'!$P$6:$P$65,"OVERDUE")</f>
        <v>1</v>
      </c>
      <c r="F23" s="16" t="n">
        <f aca="false">IFERROR(COUNTIFS('Request Tracker'!$C$6:$C$65,$B23,'Request Tracker'!$Q$6:$Q$65,"Met")/(COUNTIFS('Request Tracker'!$C$6:$C$65,$B23,'Request Tracker'!$Q$6:$Q$65,"Met")+COUNTIFS('Request Tracker'!$C$6:$C$65,$B23,'Request Tracker'!$Q$6:$Q$65,"Missed")),"-")</f>
        <v>1</v>
      </c>
      <c r="G23" s="17" t="n">
        <f aca="false">IFERROR(AVERAGEIFS('Request Tracker'!$N$6:$N$65,'Request Tracker'!$C$6:$C$65,$B23),"-")</f>
        <v>7</v>
      </c>
    </row>
    <row r="24" customFormat="false" ht="15" hidden="false" customHeight="false" outlineLevel="0" collapsed="false">
      <c r="B24" s="12" t="str">
        <f aca="false">Lists!G11</f>
        <v>Marketing</v>
      </c>
      <c r="C24" s="13" t="n">
        <f aca="false">COUNTIFS('Request Tracker'!$C$6:$C$65,$B24,'Request Tracker'!$B$6:$B$65,"&gt;0")</f>
        <v>3</v>
      </c>
      <c r="D24" s="13" t="n">
        <f aca="false">COUNTIFS('Request Tracker'!$C$6:$C$65,$B24,'Request Tracker'!$G$6:$G$65,"&lt;&gt;Completed",'Request Tracker'!$B$6:$B$65,"&gt;0")</f>
        <v>2</v>
      </c>
      <c r="E24" s="13" t="n">
        <f aca="false">COUNTIFS('Request Tracker'!$C$6:$C$65,$B24,'Request Tracker'!$P$6:$P$65,"OVERDUE")</f>
        <v>1</v>
      </c>
      <c r="F24" s="16" t="n">
        <f aca="false">IFERROR(COUNTIFS('Request Tracker'!$C$6:$C$65,$B24,'Request Tracker'!$Q$6:$Q$65,"Met")/(COUNTIFS('Request Tracker'!$C$6:$C$65,$B24,'Request Tracker'!$Q$6:$Q$65,"Met")+COUNTIFS('Request Tracker'!$C$6:$C$65,$B24,'Request Tracker'!$Q$6:$Q$65,"Missed")),"-")</f>
        <v>0</v>
      </c>
      <c r="G24" s="17" t="n">
        <f aca="false">IFERROR(AVERAGEIFS('Request Tracker'!$N$6:$N$65,'Request Tracker'!$C$6:$C$65,$B24),"-")</f>
        <v>13</v>
      </c>
    </row>
    <row r="25" customFormat="false" ht="15" hidden="false" customHeight="false" outlineLevel="0" collapsed="false">
      <c r="B25" s="12" t="str">
        <f aca="false">Lists!G12</f>
        <v>Finance</v>
      </c>
      <c r="C25" s="13" t="n">
        <f aca="false">COUNTIFS('Request Tracker'!$C$6:$C$65,$B25,'Request Tracker'!$B$6:$B$65,"&gt;0")</f>
        <v>4</v>
      </c>
      <c r="D25" s="13" t="n">
        <f aca="false">COUNTIFS('Request Tracker'!$C$6:$C$65,$B25,'Request Tracker'!$G$6:$G$65,"&lt;&gt;Completed",'Request Tracker'!$B$6:$B$65,"&gt;0")</f>
        <v>3</v>
      </c>
      <c r="E25" s="13" t="n">
        <f aca="false">COUNTIFS('Request Tracker'!$C$6:$C$65,$B25,'Request Tracker'!$P$6:$P$65,"OVERDUE")</f>
        <v>0</v>
      </c>
      <c r="F25" s="16" t="n">
        <f aca="false">IFERROR(COUNTIFS('Request Tracker'!$C$6:$C$65,$B25,'Request Tracker'!$Q$6:$Q$65,"Met")/(COUNTIFS('Request Tracker'!$C$6:$C$65,$B25,'Request Tracker'!$Q$6:$Q$65,"Met")+COUNTIFS('Request Tracker'!$C$6:$C$65,$B25,'Request Tracker'!$Q$6:$Q$65,"Missed")),"-")</f>
        <v>0</v>
      </c>
      <c r="G25" s="17" t="n">
        <f aca="false">IFERROR(AVERAGEIFS('Request Tracker'!$N$6:$N$65,'Request Tracker'!$C$6:$C$65,$B25),"-")</f>
        <v>13</v>
      </c>
    </row>
    <row r="26" customFormat="false" ht="15" hidden="false" customHeight="false" outlineLevel="0" collapsed="false">
      <c r="B26" s="15" t="s">
        <v>17</v>
      </c>
      <c r="C26" s="14" t="n">
        <f aca="false">SUM(C18:C25)</f>
        <v>40</v>
      </c>
      <c r="D26" s="14" t="n">
        <f aca="false">SUM(D18:D25)</f>
        <v>25</v>
      </c>
      <c r="E26" s="14" t="n">
        <f aca="false">SUM(E18:E25)</f>
        <v>4</v>
      </c>
      <c r="F26" s="18" t="n">
        <f aca="false">G7</f>
        <v>0.733333333333333</v>
      </c>
      <c r="G26" s="19" t="n">
        <f aca="false">H7</f>
        <v>6</v>
      </c>
    </row>
    <row r="28" customFormat="false" ht="15" hidden="false" customHeight="false" outlineLevel="0" collapsed="false">
      <c r="B28" s="10" t="s">
        <v>25</v>
      </c>
    </row>
    <row r="29" customFormat="false" ht="15" hidden="false" customHeight="false" outlineLevel="0" collapsed="false">
      <c r="B29" s="11" t="s">
        <v>26</v>
      </c>
      <c r="C29" s="11" t="s">
        <v>22</v>
      </c>
      <c r="D29" s="11" t="s">
        <v>23</v>
      </c>
      <c r="E29" s="11" t="s">
        <v>6</v>
      </c>
      <c r="F29" s="11" t="s">
        <v>27</v>
      </c>
      <c r="G29" s="11" t="s">
        <v>28</v>
      </c>
    </row>
    <row r="30" customFormat="false" ht="15" hidden="false" customHeight="false" outlineLevel="0" collapsed="false">
      <c r="B30" s="12" t="str">
        <f aca="false">Team!A5</f>
        <v>Ayesha Khan</v>
      </c>
      <c r="C30" s="13" t="str">
        <f aca="false">Team!B5</f>
        <v>Digital Banking</v>
      </c>
      <c r="D30" s="13" t="n">
        <f aca="false">COUNTIFS('Request Tracker'!$H$6:$H$65,$B30,'Request Tracker'!$G$6:$G$65,"&lt;&gt;Completed",'Request Tracker'!$B$6:$B$65,"&gt;0")</f>
        <v>3</v>
      </c>
      <c r="E30" s="13" t="n">
        <f aca="false">COUNTIFS('Request Tracker'!$H$6:$H$65,$B30,'Request Tracker'!$P$6:$P$65,"OVERDUE")</f>
        <v>0</v>
      </c>
      <c r="F30" s="13" t="n">
        <f aca="false">Team!C5</f>
        <v>8</v>
      </c>
      <c r="G30" s="16" t="n">
        <f aca="false">IF(F30=0,0,D30/F30)</f>
        <v>0.375</v>
      </c>
    </row>
    <row r="31" customFormat="false" ht="15" hidden="false" customHeight="false" outlineLevel="0" collapsed="false">
      <c r="B31" s="12" t="str">
        <f aca="false">Team!A6</f>
        <v>Hamza Malik</v>
      </c>
      <c r="C31" s="13" t="str">
        <f aca="false">Team!B6</f>
        <v>IT</v>
      </c>
      <c r="D31" s="13" t="n">
        <f aca="false">COUNTIFS('Request Tracker'!$H$6:$H$65,$B31,'Request Tracker'!$G$6:$G$65,"&lt;&gt;Completed",'Request Tracker'!$B$6:$B$65,"&gt;0")</f>
        <v>4</v>
      </c>
      <c r="E31" s="13" t="n">
        <f aca="false">COUNTIFS('Request Tracker'!$H$6:$H$65,$B31,'Request Tracker'!$P$6:$P$65,"OVERDUE")</f>
        <v>1</v>
      </c>
      <c r="F31" s="13" t="n">
        <f aca="false">Team!C6</f>
        <v>8</v>
      </c>
      <c r="G31" s="16" t="n">
        <f aca="false">IF(F31=0,0,D31/F31)</f>
        <v>0.5</v>
      </c>
    </row>
    <row r="32" customFormat="false" ht="15" hidden="false" customHeight="false" outlineLevel="0" collapsed="false">
      <c r="B32" s="12" t="str">
        <f aca="false">Team!A7</f>
        <v>Sana Raza</v>
      </c>
      <c r="C32" s="13" t="str">
        <f aca="false">Team!B7</f>
        <v>Operations</v>
      </c>
      <c r="D32" s="13" t="n">
        <f aca="false">COUNTIFS('Request Tracker'!$H$6:$H$65,$B32,'Request Tracker'!$G$6:$G$65,"&lt;&gt;Completed",'Request Tracker'!$B$6:$B$65,"&gt;0")</f>
        <v>4</v>
      </c>
      <c r="E32" s="13" t="n">
        <f aca="false">COUNTIFS('Request Tracker'!$H$6:$H$65,$B32,'Request Tracker'!$P$6:$P$65,"OVERDUE")</f>
        <v>1</v>
      </c>
      <c r="F32" s="13" t="n">
        <f aca="false">Team!C7</f>
        <v>7</v>
      </c>
      <c r="G32" s="16" t="n">
        <f aca="false">IF(F32=0,0,D32/F32)</f>
        <v>0.571428571428571</v>
      </c>
    </row>
    <row r="33" customFormat="false" ht="15" hidden="false" customHeight="false" outlineLevel="0" collapsed="false">
      <c r="B33" s="12" t="str">
        <f aca="false">Team!A8</f>
        <v>Bilal Ahmed</v>
      </c>
      <c r="C33" s="13" t="str">
        <f aca="false">Team!B8</f>
        <v>Compliance</v>
      </c>
      <c r="D33" s="13" t="n">
        <f aca="false">COUNTIFS('Request Tracker'!$H$6:$H$65,$B33,'Request Tracker'!$G$6:$G$65,"&lt;&gt;Completed",'Request Tracker'!$B$6:$B$65,"&gt;0")</f>
        <v>3</v>
      </c>
      <c r="E33" s="13" t="n">
        <f aca="false">COUNTIFS('Request Tracker'!$H$6:$H$65,$B33,'Request Tracker'!$P$6:$P$65,"OVERDUE")</f>
        <v>0</v>
      </c>
      <c r="F33" s="13" t="n">
        <f aca="false">Team!C8</f>
        <v>6</v>
      </c>
      <c r="G33" s="16" t="n">
        <f aca="false">IF(F33=0,0,D33/F33)</f>
        <v>0.5</v>
      </c>
    </row>
    <row r="34" customFormat="false" ht="15" hidden="false" customHeight="false" outlineLevel="0" collapsed="false">
      <c r="B34" s="12" t="str">
        <f aca="false">Team!A9</f>
        <v>Fatima Noor</v>
      </c>
      <c r="C34" s="13" t="str">
        <f aca="false">Team!B9</f>
        <v>Customer Support</v>
      </c>
      <c r="D34" s="13" t="n">
        <f aca="false">COUNTIFS('Request Tracker'!$H$6:$H$65,$B34,'Request Tracker'!$G$6:$G$65,"&lt;&gt;Completed",'Request Tracker'!$B$6:$B$65,"&gt;0")</f>
        <v>3</v>
      </c>
      <c r="E34" s="13" t="n">
        <f aca="false">COUNTIFS('Request Tracker'!$H$6:$H$65,$B34,'Request Tracker'!$P$6:$P$65,"OVERDUE")</f>
        <v>0</v>
      </c>
      <c r="F34" s="13" t="n">
        <f aca="false">Team!C9</f>
        <v>7</v>
      </c>
      <c r="G34" s="16" t="n">
        <f aca="false">IF(F34=0,0,D34/F34)</f>
        <v>0.428571428571429</v>
      </c>
    </row>
    <row r="35" customFormat="false" ht="15" hidden="false" customHeight="false" outlineLevel="0" collapsed="false">
      <c r="B35" s="12" t="str">
        <f aca="false">Team!A10</f>
        <v>Usman Tariq</v>
      </c>
      <c r="C35" s="13" t="str">
        <f aca="false">Team!B10</f>
        <v>Risk</v>
      </c>
      <c r="D35" s="13" t="n">
        <f aca="false">COUNTIFS('Request Tracker'!$H$6:$H$65,$B35,'Request Tracker'!$G$6:$G$65,"&lt;&gt;Completed",'Request Tracker'!$B$6:$B$65,"&gt;0")</f>
        <v>2</v>
      </c>
      <c r="E35" s="13" t="n">
        <f aca="false">COUNTIFS('Request Tracker'!$H$6:$H$65,$B35,'Request Tracker'!$P$6:$P$65,"OVERDUE")</f>
        <v>1</v>
      </c>
      <c r="F35" s="13" t="n">
        <f aca="false">Team!C10</f>
        <v>5</v>
      </c>
      <c r="G35" s="16" t="n">
        <f aca="false">IF(F35=0,0,D35/F35)</f>
        <v>0.4</v>
      </c>
    </row>
    <row r="36" customFormat="false" ht="15" hidden="false" customHeight="false" outlineLevel="0" collapsed="false">
      <c r="B36" s="12" t="str">
        <f aca="false">Team!A11</f>
        <v>Zainab Ali</v>
      </c>
      <c r="C36" s="13" t="str">
        <f aca="false">Team!B11</f>
        <v>Finance</v>
      </c>
      <c r="D36" s="13" t="n">
        <f aca="false">COUNTIFS('Request Tracker'!$H$6:$H$65,$B36,'Request Tracker'!$G$6:$G$65,"&lt;&gt;Completed",'Request Tracker'!$B$6:$B$65,"&gt;0")</f>
        <v>2</v>
      </c>
      <c r="E36" s="13" t="n">
        <f aca="false">COUNTIFS('Request Tracker'!$H$6:$H$65,$B36,'Request Tracker'!$P$6:$P$65,"OVERDUE")</f>
        <v>0</v>
      </c>
      <c r="F36" s="13" t="n">
        <f aca="false">Team!C11</f>
        <v>6</v>
      </c>
      <c r="G36" s="16" t="n">
        <f aca="false">IF(F36=0,0,D36/F36)</f>
        <v>0.333333333333333</v>
      </c>
    </row>
    <row r="37" customFormat="false" ht="15" hidden="false" customHeight="false" outlineLevel="0" collapsed="false">
      <c r="B37" s="12" t="str">
        <f aca="false">Team!A12</f>
        <v>Omar Siddiqui</v>
      </c>
      <c r="C37" s="13" t="str">
        <f aca="false">Team!B12</f>
        <v>Digital Banking</v>
      </c>
      <c r="D37" s="13" t="n">
        <f aca="false">COUNTIFS('Request Tracker'!$H$6:$H$65,$B37,'Request Tracker'!$G$6:$G$65,"&lt;&gt;Completed",'Request Tracker'!$B$6:$B$65,"&gt;0")</f>
        <v>4</v>
      </c>
      <c r="E37" s="13" t="n">
        <f aca="false">COUNTIFS('Request Tracker'!$H$6:$H$65,$B37,'Request Tracker'!$P$6:$P$65,"OVERDUE")</f>
        <v>1</v>
      </c>
      <c r="F37" s="13" t="n">
        <f aca="false">Team!C12</f>
        <v>8</v>
      </c>
      <c r="G37" s="16" t="n">
        <f aca="false">IF(F37=0,0,D37/F37)</f>
        <v>0.5</v>
      </c>
    </row>
    <row r="39" customFormat="false" ht="15" hidden="false" customHeight="false" outlineLevel="0" collapsed="false">
      <c r="B39" s="10" t="s">
        <v>29</v>
      </c>
    </row>
    <row r="40" customFormat="false" ht="15" hidden="false" customHeight="false" outlineLevel="0" collapsed="false">
      <c r="B40" s="11" t="s">
        <v>30</v>
      </c>
      <c r="C40" s="11" t="s">
        <v>5</v>
      </c>
    </row>
    <row r="41" customFormat="false" ht="15" hidden="false" customHeight="false" outlineLevel="0" collapsed="false">
      <c r="B41" s="12" t="s">
        <v>31</v>
      </c>
      <c r="C41" s="13" t="n">
        <f aca="false">COUNTIFS('Request Tracker'!$O$6:$O$65,"&gt;=0",'Request Tracker'!$O$6:$O$65,"&lt;=3")</f>
        <v>9</v>
      </c>
    </row>
    <row r="42" customFormat="false" ht="15" hidden="false" customHeight="false" outlineLevel="0" collapsed="false">
      <c r="B42" s="12" t="s">
        <v>32</v>
      </c>
      <c r="C42" s="13" t="n">
        <f aca="false">COUNTIFS('Request Tracker'!$O$6:$O$65,"&gt;=4",'Request Tracker'!$O$6:$O$65,"&lt;=7")</f>
        <v>12</v>
      </c>
    </row>
    <row r="43" customFormat="false" ht="15" hidden="false" customHeight="false" outlineLevel="0" collapsed="false">
      <c r="B43" s="12" t="s">
        <v>33</v>
      </c>
      <c r="C43" s="13" t="n">
        <f aca="false">COUNTIFS('Request Tracker'!$O$6:$O$65,"&gt;=8",'Request Tracker'!$O$6:$O$65,"&lt;=14")</f>
        <v>3</v>
      </c>
    </row>
    <row r="44" customFormat="false" ht="15" hidden="false" customHeight="false" outlineLevel="0" collapsed="false">
      <c r="B44" s="12" t="s">
        <v>34</v>
      </c>
      <c r="C44" s="13" t="n">
        <f aca="false">COUNTIFS('Request Tracker'!$O$6:$O$65,"&gt;=15")</f>
        <v>1</v>
      </c>
    </row>
    <row r="45" customFormat="false" ht="15" hidden="false" customHeight="false" outlineLevel="0" collapsed="false">
      <c r="B45" s="15" t="s">
        <v>17</v>
      </c>
      <c r="C45" s="14" t="n">
        <f aca="false">SUM(C41:C44)</f>
        <v>25</v>
      </c>
      <c r="D45" s="20" t="str">
        <f aca="false">IF(C45=C7,"Matches open","CHECK")</f>
        <v>Matches open</v>
      </c>
    </row>
    <row r="47" customFormat="false" ht="15" hidden="false" customHeight="false" outlineLevel="0" collapsed="false">
      <c r="B47" s="10" t="s">
        <v>35</v>
      </c>
    </row>
    <row r="48" customFormat="false" ht="15" hidden="false" customHeight="false" outlineLevel="0" collapsed="false">
      <c r="B48" s="11" t="s">
        <v>36</v>
      </c>
      <c r="C48" s="11" t="s">
        <v>22</v>
      </c>
      <c r="D48" s="11" t="s">
        <v>37</v>
      </c>
      <c r="E48" s="11" t="s">
        <v>38</v>
      </c>
      <c r="F48" s="11" t="s">
        <v>39</v>
      </c>
      <c r="G48" s="11" t="s">
        <v>40</v>
      </c>
      <c r="H48" s="11" t="s">
        <v>41</v>
      </c>
    </row>
    <row r="49" customFormat="false" ht="15" hidden="false" customHeight="false" outlineLevel="0" collapsed="false">
      <c r="B49" s="12" t="str">
        <f aca="false">IF($H49="","",INDEX('Request Tracker'!$A$6:$A$65,$H49)&amp;" - "&amp;INDEX('Request Tracker'!$E$6:$E$65,$H49))</f>
        <v>DB-006 - Password reset flow fix</v>
      </c>
      <c r="C49" s="13" t="str">
        <f aca="false">IF($H49="","",INDEX('Request Tracker'!$C$6:$C$65,$H49))</f>
        <v>IT</v>
      </c>
      <c r="D49" s="13" t="str">
        <f aca="false">IF($H49="","",INDEX('Request Tracker'!$H$6:$H$65,$H49))</f>
        <v>Hamza Malik</v>
      </c>
      <c r="E49" s="21" t="n">
        <f aca="false">IF($H49="","",INDEX('Request Tracker'!$I$6:$I$65,$H49))</f>
        <v>46319</v>
      </c>
      <c r="F49" s="22" t="str">
        <f aca="false">IF($H49="","",INDEX('Request Tracker'!$P$6:$P$65,$H49))</f>
        <v>OVERDUE</v>
      </c>
      <c r="G49" s="23" t="n">
        <f aca="false">IF($H49="","",INDEX('Request Tracker'!$R$6:$R$65,$H49))</f>
        <v>9</v>
      </c>
      <c r="H49" s="24" t="n">
        <f aca="false">IFERROR(IF(LARGE('Request Tracker'!$S$6:$S$65,1)&lt;1,"",MATCH(LARGE('Request Tracker'!$S$6:$S$65,1),'Request Tracker'!$S$6:$S$65,0)),"")</f>
        <v>6</v>
      </c>
    </row>
    <row r="50" customFormat="false" ht="15" hidden="false" customHeight="false" outlineLevel="0" collapsed="false">
      <c r="B50" s="12" t="str">
        <f aca="false">IF($H50="","",INDEX('Request Tracker'!$A$6:$A$65,$H50)&amp;" - "&amp;INDEX('Request Tracker'!$E$6:$E$65,$H50))</f>
        <v>DB-009 - Fraud alert threshold review</v>
      </c>
      <c r="C50" s="13" t="str">
        <f aca="false">IF($H50="","",INDEX('Request Tracker'!$C$6:$C$65,$H50))</f>
        <v>Risk</v>
      </c>
      <c r="D50" s="13" t="str">
        <f aca="false">IF($H50="","",INDEX('Request Tracker'!$H$6:$H$65,$H50))</f>
        <v>Usman Tariq</v>
      </c>
      <c r="E50" s="21" t="n">
        <f aca="false">IF($H50="","",INDEX('Request Tracker'!$I$6:$I$65,$H50))</f>
        <v>46317</v>
      </c>
      <c r="F50" s="22" t="str">
        <f aca="false">IF($H50="","",INDEX('Request Tracker'!$P$6:$P$65,$H50))</f>
        <v>OVERDUE</v>
      </c>
      <c r="G50" s="23" t="n">
        <f aca="false">IF($H50="","",INDEX('Request Tracker'!$R$6:$R$65,$H50))</f>
        <v>9</v>
      </c>
      <c r="H50" s="24" t="n">
        <f aca="false">IFERROR(IF(LARGE('Request Tracker'!$S$6:$S$65,2)&lt;1,"",MATCH(LARGE('Request Tracker'!$S$6:$S$65,2),'Request Tracker'!$S$6:$S$65,0)),"")</f>
        <v>9</v>
      </c>
    </row>
    <row r="51" customFormat="false" ht="15" hidden="false" customHeight="false" outlineLevel="0" collapsed="false">
      <c r="B51" s="12" t="str">
        <f aca="false">IF($H51="","",INDEX('Request Tracker'!$A$6:$A$65,$H51)&amp;" - "&amp;INDEX('Request Tracker'!$E$6:$E$65,$H51))</f>
        <v>DB-004 - KYC process review</v>
      </c>
      <c r="C51" s="13" t="str">
        <f aca="false">IF($H51="","",INDEX('Request Tracker'!$C$6:$C$65,$H51))</f>
        <v>Compliance</v>
      </c>
      <c r="D51" s="13" t="str">
        <f aca="false">IF($H51="","",INDEX('Request Tracker'!$H$6:$H$65,$H51))</f>
        <v>Bilal Ahmed</v>
      </c>
      <c r="E51" s="21" t="n">
        <f aca="false">IF($H51="","",INDEX('Request Tracker'!$I$6:$I$65,$H51))</f>
        <v>46322</v>
      </c>
      <c r="F51" s="22" t="str">
        <f aca="false">IF($H51="","",INDEX('Request Tracker'!$P$6:$P$65,$H51))</f>
        <v>Due Soon</v>
      </c>
      <c r="G51" s="23" t="n">
        <f aca="false">IF($H51="","",INDEX('Request Tracker'!$R$6:$R$65,$H51))</f>
        <v>6</v>
      </c>
      <c r="H51" s="24" t="n">
        <f aca="false">IFERROR(IF(LARGE('Request Tracker'!$S$6:$S$65,3)&lt;1,"",MATCH(LARGE('Request Tracker'!$S$6:$S$65,3),'Request Tracker'!$S$6:$S$65,0)),"")</f>
        <v>4</v>
      </c>
    </row>
    <row r="52" customFormat="false" ht="15" hidden="false" customHeight="false" outlineLevel="0" collapsed="false">
      <c r="B52" s="12" t="str">
        <f aca="false">IF($H52="","",INDEX('Request Tracker'!$A$6:$A$65,$H52)&amp;" - "&amp;INDEX('Request Tracker'!$E$6:$E$65,$H52))</f>
        <v>DB-018 - Biometric login rollout checklist</v>
      </c>
      <c r="C52" s="13" t="str">
        <f aca="false">IF($H52="","",INDEX('Request Tracker'!$C$6:$C$65,$H52))</f>
        <v>Digital Banking</v>
      </c>
      <c r="D52" s="13" t="str">
        <f aca="false">IF($H52="","",INDEX('Request Tracker'!$H$6:$H$65,$H52))</f>
        <v>Ayesha Khan</v>
      </c>
      <c r="E52" s="21" t="n">
        <f aca="false">IF($H52="","",INDEX('Request Tracker'!$I$6:$I$65,$H52))</f>
        <v>46323</v>
      </c>
      <c r="F52" s="22" t="str">
        <f aca="false">IF($H52="","",INDEX('Request Tracker'!$P$6:$P$65,$H52))</f>
        <v>Due Soon</v>
      </c>
      <c r="G52" s="23" t="n">
        <f aca="false">IF($H52="","",INDEX('Request Tracker'!$R$6:$R$65,$H52))</f>
        <v>6</v>
      </c>
      <c r="H52" s="24" t="n">
        <f aca="false">IFERROR(IF(LARGE('Request Tracker'!$S$6:$S$65,4)&lt;1,"",MATCH(LARGE('Request Tracker'!$S$6:$S$65,4),'Request Tracker'!$S$6:$S$65,0)),"")</f>
        <v>18</v>
      </c>
    </row>
    <row r="53" customFormat="false" ht="15" hidden="false" customHeight="false" outlineLevel="0" collapsed="false">
      <c r="B53" s="12" t="str">
        <f aca="false">IF($H53="","",INDEX('Request Tracker'!$A$6:$A$65,$H53)&amp;" - "&amp;INDEX('Request Tracker'!$E$6:$E$65,$H53))</f>
        <v>DB-020 - Digital channel fee reconciliation</v>
      </c>
      <c r="C53" s="13" t="str">
        <f aca="false">IF($H53="","",INDEX('Request Tracker'!$C$6:$C$65,$H53))</f>
        <v>Finance</v>
      </c>
      <c r="D53" s="13" t="str">
        <f aca="false">IF($H53="","",INDEX('Request Tracker'!$H$6:$H$65,$H53))</f>
        <v>Zainab Ali</v>
      </c>
      <c r="E53" s="21" t="n">
        <f aca="false">IF($H53="","",INDEX('Request Tracker'!$I$6:$I$65,$H53))</f>
        <v>46321</v>
      </c>
      <c r="F53" s="22" t="str">
        <f aca="false">IF($H53="","",INDEX('Request Tracker'!$P$6:$P$65,$H53))</f>
        <v>Due Soon</v>
      </c>
      <c r="G53" s="23" t="n">
        <f aca="false">IF($H53="","",INDEX('Request Tracker'!$R$6:$R$65,$H53))</f>
        <v>6</v>
      </c>
      <c r="H53" s="24" t="n">
        <f aca="false">IFERROR(IF(LARGE('Request Tracker'!$S$6:$S$65,5)&lt;1,"",MATCH(LARGE('Request Tracker'!$S$6:$S$65,5),'Request Tracker'!$S$6:$S$65,0)),"")</f>
        <v>20</v>
      </c>
    </row>
    <row r="55" customFormat="false" ht="15" hidden="false" customHeight="false" outlineLevel="0" collapsed="false">
      <c r="B55" s="10" t="s">
        <v>42</v>
      </c>
    </row>
    <row r="56" customFormat="false" ht="15" hidden="false" customHeight="false" outlineLevel="0" collapsed="false">
      <c r="B56" s="11" t="s">
        <v>43</v>
      </c>
      <c r="C56" s="11" t="s">
        <v>44</v>
      </c>
    </row>
    <row r="57" customFormat="false" ht="15" hidden="false" customHeight="false" outlineLevel="0" collapsed="false">
      <c r="B57" s="12" t="s">
        <v>45</v>
      </c>
      <c r="C57" s="13" t="n">
        <f aca="false">COUNTIF('Request Tracker'!$T$6:$T$65,B57)</f>
        <v>0</v>
      </c>
    </row>
    <row r="58" customFormat="false" ht="15" hidden="false" customHeight="false" outlineLevel="0" collapsed="false">
      <c r="B58" s="12" t="s">
        <v>46</v>
      </c>
      <c r="C58" s="13" t="n">
        <f aca="false">COUNTIF('Request Tracker'!$T$6:$T$65,B58)</f>
        <v>0</v>
      </c>
    </row>
    <row r="59" customFormat="false" ht="15" hidden="false" customHeight="false" outlineLevel="0" collapsed="false">
      <c r="B59" s="12" t="s">
        <v>47</v>
      </c>
      <c r="C59" s="13" t="n">
        <f aca="false">COUNTIF('Request Tracker'!$T$6:$T$65,B59)</f>
        <v>0</v>
      </c>
    </row>
    <row r="60" customFormat="false" ht="15" hidden="false" customHeight="false" outlineLevel="0" collapsed="false">
      <c r="B60" s="15" t="s">
        <v>48</v>
      </c>
      <c r="C60" s="25" t="str">
        <f aca="false">IF(SUM(C57:C59)=0,"All clear","Review")</f>
        <v>All clear</v>
      </c>
    </row>
  </sheetData>
  <conditionalFormatting sqref="G11:G13">
    <cfRule type="expression" priority="2" aboveAverage="0" equalAverage="0" bottom="0" percent="0" rank="0" text="" dxfId="0">
      <formula>G11&gt;0</formula>
    </cfRule>
  </conditionalFormatting>
  <conditionalFormatting sqref="E18:E25">
    <cfRule type="expression" priority="3" aboveAverage="0" equalAverage="0" bottom="0" percent="0" rank="0" text="" dxfId="0">
      <formula>E18&gt;0</formula>
    </cfRule>
  </conditionalFormatting>
  <conditionalFormatting sqref="E30:E37">
    <cfRule type="expression" priority="4" aboveAverage="0" equalAverage="0" bottom="0" percent="0" rank="0" text="" dxfId="0">
      <formula>E30&gt;0</formula>
    </cfRule>
  </conditionalFormatting>
  <conditionalFormatting sqref="D7">
    <cfRule type="expression" priority="5" aboveAverage="0" equalAverage="0" bottom="0" percent="0" rank="0" text="" dxfId="1">
      <formula>D7&gt;0</formula>
    </cfRule>
  </conditionalFormatting>
  <conditionalFormatting sqref="G30:G37">
    <cfRule type="dataBar" priority="6">
      <dataBar showValue="1" minLength="10" maxLength="90">
        <cfvo type="num" val="0"/>
        <cfvo type="num" val="1.2"/>
        <color rgb="FF9DC3E6"/>
      </dataBar>
      <extLst>
        <ext xmlns:x14="http://schemas.microsoft.com/office/spreadsheetml/2009/9/main" uri="{B025F937-C7B1-47D3-B67F-A62EFF666E3E}">
          <x14:id>{C1D84015-3B5A-47BF-8766-DB51D7D640F9}</x14:id>
        </ext>
      </extLst>
    </cfRule>
    <cfRule type="expression" priority="7" aboveAverage="0" equalAverage="0" bottom="0" percent="0" rank="0" text="" dxfId="0">
      <formula>G30&gt;1</formula>
    </cfRule>
  </conditionalFormatting>
  <conditionalFormatting sqref="F49:F53">
    <cfRule type="expression" priority="8" aboveAverage="0" equalAverage="0" bottom="0" percent="0" rank="0" text="" dxfId="2">
      <formula>F49="OVERDUE"</formula>
    </cfRule>
    <cfRule type="expression" priority="9" aboveAverage="0" equalAverage="0" bottom="0" percent="0" rank="0" text="" dxfId="3">
      <formula>F49="Due Soon"</formula>
    </cfRule>
  </conditionalFormatting>
  <conditionalFormatting sqref="C60">
    <cfRule type="expression" priority="10" aboveAverage="0" equalAverage="0" bottom="0" percent="0" rank="0" text="" dxfId="4">
      <formula>C60="All clear"</formula>
    </cfRule>
    <cfRule type="expression" priority="11" aboveAverage="0" equalAverage="0" bottom="0" percent="0" rank="0" text="" dxfId="2">
      <formula>C60="Review"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D84015-3B5A-47BF-8766-DB51D7D640F9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9DC3E6"/>
              <x14:axisColor rgb="FF000000"/>
            </x14:dataBar>
          </x14:cfRule>
          <xm:sqref>G30:G37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9"/>
    <col collapsed="false" customWidth="true" hidden="true" outlineLevel="0" max="19" min="19" style="0" width="10"/>
    <col collapsed="false" customWidth="true" hidden="false" outlineLevel="0" max="20" min="20" style="0" width="28"/>
  </cols>
  <sheetData>
    <row r="1" customFormat="false" ht="19.7" hidden="false" customHeight="false" outlineLevel="0" collapsed="false">
      <c r="A1" s="26" t="s">
        <v>49</v>
      </c>
    </row>
    <row r="2" customFormat="false" ht="15" hidden="false" customHeight="false" outlineLevel="0" collapsed="false">
      <c r="A2" s="4" t="s">
        <v>50</v>
      </c>
    </row>
    <row r="3" customFormat="false" ht="15" hidden="false" customHeight="false" outlineLevel="0" collapsed="false">
      <c r="A3" s="27" t="s">
        <v>51</v>
      </c>
    </row>
    <row r="4" customFormat="false" ht="15" hidden="false" customHeight="false" outlineLevel="0" collapsed="false">
      <c r="A4" s="28" t="s">
        <v>52</v>
      </c>
      <c r="B4" s="29" t="n">
        <f aca="false">AsOf</f>
        <v>46321</v>
      </c>
    </row>
    <row r="5" customFormat="false" ht="31.5" hidden="false" customHeight="true" outlineLevel="0" collapsed="false">
      <c r="A5" s="11" t="s">
        <v>53</v>
      </c>
      <c r="B5" s="11" t="s">
        <v>54</v>
      </c>
      <c r="C5" s="11" t="s">
        <v>22</v>
      </c>
      <c r="D5" s="11" t="s">
        <v>55</v>
      </c>
      <c r="E5" s="11" t="s">
        <v>36</v>
      </c>
      <c r="F5" s="11" t="s">
        <v>13</v>
      </c>
      <c r="G5" s="11" t="s">
        <v>56</v>
      </c>
      <c r="H5" s="11" t="s">
        <v>37</v>
      </c>
      <c r="I5" s="11" t="s">
        <v>38</v>
      </c>
      <c r="J5" s="11" t="s">
        <v>57</v>
      </c>
      <c r="K5" s="30" t="s">
        <v>58</v>
      </c>
      <c r="L5" s="30" t="s">
        <v>59</v>
      </c>
      <c r="M5" s="30" t="s">
        <v>60</v>
      </c>
      <c r="N5" s="30" t="s">
        <v>61</v>
      </c>
      <c r="O5" s="30" t="s">
        <v>62</v>
      </c>
      <c r="P5" s="30" t="s">
        <v>39</v>
      </c>
      <c r="Q5" s="30" t="s">
        <v>63</v>
      </c>
      <c r="R5" s="30" t="s">
        <v>40</v>
      </c>
      <c r="S5" s="30" t="s">
        <v>64</v>
      </c>
      <c r="T5" s="30" t="s">
        <v>65</v>
      </c>
    </row>
    <row r="6" customFormat="false" ht="15" hidden="false" customHeight="false" outlineLevel="0" collapsed="false">
      <c r="A6" s="31" t="s">
        <v>66</v>
      </c>
      <c r="B6" s="32" t="n">
        <v>46318</v>
      </c>
      <c r="C6" s="33" t="s">
        <v>67</v>
      </c>
      <c r="D6" s="33" t="s">
        <v>68</v>
      </c>
      <c r="E6" s="33" t="s">
        <v>69</v>
      </c>
      <c r="F6" s="31" t="s">
        <v>18</v>
      </c>
      <c r="G6" s="31" t="s">
        <v>14</v>
      </c>
      <c r="H6" s="33" t="s">
        <v>70</v>
      </c>
      <c r="I6" s="32" t="n">
        <v>46325</v>
      </c>
      <c r="J6" s="32"/>
      <c r="K6" s="34" t="n">
        <f aca="false">IF($B6="","",IFERROR(INDEX(Lists!$B$5:$B$7,MATCH($F6,Lists!$A$5:$A$7,0)),""))</f>
        <v>2</v>
      </c>
      <c r="L6" s="35" t="n">
        <f aca="false">IF(OR($B6="",$K6=""),"",WORKDAY($B6,$K6))</f>
        <v>46322</v>
      </c>
      <c r="M6" s="34" t="n">
        <f aca="false">IF(OR($B6="",$I6=""),"",IF($G6="Completed","",$I6-AsOf))</f>
        <v>4</v>
      </c>
      <c r="N6" s="34" t="str">
        <f aca="false">IF(OR($B6="",$J6=""),"",$J6-$B6)</f>
        <v/>
      </c>
      <c r="O6" s="34" t="n">
        <f aca="false">IF($B6="","",IF($G6="Completed","",AsOf-$B6))</f>
        <v>3</v>
      </c>
      <c r="P6" s="36" t="str">
        <f aca="false">IF($B6="","",IF($G6="Completed",IF(AND($J6&lt;&gt;"",$J6&gt;$I6),"Done (Late)","Done"),IF($I6="","No deadline",IF($I6&lt;AsOf,"OVERDUE",IF($I6-AsOf&lt;=Lists!$B$9,"Due Soon","On Track")))))</f>
        <v>On Track</v>
      </c>
      <c r="Q6" s="36" t="str">
        <f aca="false">IF(OR($B6="",$L6=""),"",IF($G6="Completed",IF($J6="","",IF($J6&lt;=$L6,"Met","Missed")),IF(AsOf&gt;$L6,"Breached","Within SLA")))</f>
        <v>Within SLA</v>
      </c>
      <c r="R6" s="34" t="n">
        <f aca="false">IF($B6="","",IF($G6="Completed",0,IFERROR(INDEX(Lists!$C$5:$C$7,MATCH($F6,Lists!$A$5:$A$7,0)),1)*IF($I6="",1,IF($I6&lt;AsOf,3,IF($I6-AsOf&lt;=Lists!$B$9,2,1)))))</f>
        <v>3</v>
      </c>
      <c r="S6" s="37" t="n">
        <f aca="false">IF($B6="","",$R6+(1000-ROW())/100000)</f>
        <v>3.00994</v>
      </c>
      <c r="T6" s="36" t="str">
        <f aca="false">IF($B6="","",IF(AND($G6="Completed",$J6=""),"Missing completion date",IF(AND($G6&lt;&gt;"Completed",$J6&lt;&gt;""),"Completion date on open request",IF(AND($I6&lt;&gt;"",$I6&lt;$B6),"Deadline before raised","OK"))))</f>
        <v>OK</v>
      </c>
    </row>
    <row r="7" customFormat="false" ht="15" hidden="false" customHeight="false" outlineLevel="0" collapsed="false">
      <c r="A7" s="31" t="s">
        <v>71</v>
      </c>
      <c r="B7" s="32" t="n">
        <v>46316</v>
      </c>
      <c r="C7" s="33" t="s">
        <v>72</v>
      </c>
      <c r="D7" s="33" t="s">
        <v>73</v>
      </c>
      <c r="E7" s="33" t="s">
        <v>74</v>
      </c>
      <c r="F7" s="31" t="s">
        <v>19</v>
      </c>
      <c r="G7" s="31" t="s">
        <v>15</v>
      </c>
      <c r="H7" s="33" t="s">
        <v>75</v>
      </c>
      <c r="I7" s="32" t="n">
        <v>46326</v>
      </c>
      <c r="J7" s="32"/>
      <c r="K7" s="34" t="n">
        <f aca="false">IF($B7="","",IFERROR(INDEX(Lists!$B$5:$B$7,MATCH($F7,Lists!$A$5:$A$7,0)),""))</f>
        <v>5</v>
      </c>
      <c r="L7" s="35" t="n">
        <f aca="false">IF(OR($B7="",$K7=""),"",WORKDAY($B7,$K7))</f>
        <v>46323</v>
      </c>
      <c r="M7" s="34" t="n">
        <f aca="false">IF(OR($B7="",$I7=""),"",IF($G7="Completed","",$I7-AsOf))</f>
        <v>5</v>
      </c>
      <c r="N7" s="34" t="str">
        <f aca="false">IF(OR($B7="",$J7=""),"",$J7-$B7)</f>
        <v/>
      </c>
      <c r="O7" s="34" t="n">
        <f aca="false">IF($B7="","",IF($G7="Completed","",AsOf-$B7))</f>
        <v>5</v>
      </c>
      <c r="P7" s="36" t="str">
        <f aca="false">IF($B7="","",IF($G7="Completed",IF(AND($J7&lt;&gt;"",$J7&gt;$I7),"Done (Late)","Done"),IF($I7="","No deadline",IF($I7&lt;AsOf,"OVERDUE",IF($I7-AsOf&lt;=Lists!$B$9,"Due Soon","On Track")))))</f>
        <v>On Track</v>
      </c>
      <c r="Q7" s="36" t="str">
        <f aca="false">IF(OR($B7="",$L7=""),"",IF($G7="Completed",IF($J7="","",IF($J7&lt;=$L7,"Met","Missed")),IF(AsOf&gt;$L7,"Breached","Within SLA")))</f>
        <v>Within SLA</v>
      </c>
      <c r="R7" s="34" t="n">
        <f aca="false">IF($B7="","",IF($G7="Completed",0,IFERROR(INDEX(Lists!$C$5:$C$7,MATCH($F7,Lists!$A$5:$A$7,0)),1)*IF($I7="",1,IF($I7&lt;AsOf,3,IF($I7-AsOf&lt;=Lists!$B$9,2,1)))))</f>
        <v>2</v>
      </c>
      <c r="S7" s="37" t="n">
        <f aca="false">IF($B7="","",$R7+(1000-ROW())/100000)</f>
        <v>2.00993</v>
      </c>
      <c r="T7" s="36" t="str">
        <f aca="false">IF($B7="","",IF(AND($G7="Completed",$J7=""),"Missing completion date",IF(AND($G7&lt;&gt;"Completed",$J7&lt;&gt;""),"Completion date on open request",IF(AND($I7&lt;&gt;"",$I7&lt;$B7),"Deadline before raised","OK"))))</f>
        <v>OK</v>
      </c>
    </row>
    <row r="8" customFormat="false" ht="15" hidden="false" customHeight="false" outlineLevel="0" collapsed="false">
      <c r="A8" s="31" t="s">
        <v>76</v>
      </c>
      <c r="B8" s="32" t="n">
        <v>46317</v>
      </c>
      <c r="C8" s="33" t="s">
        <v>77</v>
      </c>
      <c r="D8" s="33" t="s">
        <v>78</v>
      </c>
      <c r="E8" s="33" t="s">
        <v>79</v>
      </c>
      <c r="F8" s="31" t="s">
        <v>18</v>
      </c>
      <c r="G8" s="31" t="s">
        <v>16</v>
      </c>
      <c r="H8" s="33" t="s">
        <v>80</v>
      </c>
      <c r="I8" s="32" t="n">
        <v>46323</v>
      </c>
      <c r="J8" s="32" t="n">
        <v>46318</v>
      </c>
      <c r="K8" s="34" t="n">
        <f aca="false">IF($B8="","",IFERROR(INDEX(Lists!$B$5:$B$7,MATCH($F8,Lists!$A$5:$A$7,0)),""))</f>
        <v>2</v>
      </c>
      <c r="L8" s="35" t="n">
        <f aca="false">IF(OR($B8="",$K8=""),"",WORKDAY($B8,$K8))</f>
        <v>46321</v>
      </c>
      <c r="M8" s="34" t="str">
        <f aca="false">IF(OR($B8="",$I8=""),"",IF($G8="Completed","",$I8-AsOf))</f>
        <v/>
      </c>
      <c r="N8" s="34" t="n">
        <f aca="false">IF(OR($B8="",$J8=""),"",$J8-$B8)</f>
        <v>1</v>
      </c>
      <c r="O8" s="34" t="str">
        <f aca="false">IF($B8="","",IF($G8="Completed","",AsOf-$B8))</f>
        <v/>
      </c>
      <c r="P8" s="36" t="str">
        <f aca="false">IF($B8="","",IF($G8="Completed",IF(AND($J8&lt;&gt;"",$J8&gt;$I8),"Done (Late)","Done"),IF($I8="","No deadline",IF($I8&lt;AsOf,"OVERDUE",IF($I8-AsOf&lt;=Lists!$B$9,"Due Soon","On Track")))))</f>
        <v>Done</v>
      </c>
      <c r="Q8" s="36" t="str">
        <f aca="false">IF(OR($B8="",$L8=""),"",IF($G8="Completed",IF($J8="","",IF($J8&lt;=$L8,"Met","Missed")),IF(AsOf&gt;$L8,"Breached","Within SLA")))</f>
        <v>Met</v>
      </c>
      <c r="R8" s="34" t="n">
        <f aca="false">IF($B8="","",IF($G8="Completed",0,IFERROR(INDEX(Lists!$C$5:$C$7,MATCH($F8,Lists!$A$5:$A$7,0)),1)*IF($I8="",1,IF($I8&lt;AsOf,3,IF($I8-AsOf&lt;=Lists!$B$9,2,1)))))</f>
        <v>0</v>
      </c>
      <c r="S8" s="37" t="n">
        <f aca="false">IF($B8="","",$R8+(1000-ROW())/100000)</f>
        <v>0.00992</v>
      </c>
      <c r="T8" s="36" t="str">
        <f aca="false">IF($B8="","",IF(AND($G8="Completed",$J8=""),"Missing completion date",IF(AND($G8&lt;&gt;"Completed",$J8&lt;&gt;""),"Completion date on open request",IF(AND($I8&lt;&gt;"",$I8&lt;$B8),"Deadline before raised","OK"))))</f>
        <v>OK</v>
      </c>
    </row>
    <row r="9" customFormat="false" ht="15" hidden="false" customHeight="false" outlineLevel="0" collapsed="false">
      <c r="A9" s="31" t="s">
        <v>81</v>
      </c>
      <c r="B9" s="32" t="n">
        <v>46317</v>
      </c>
      <c r="C9" s="33" t="s">
        <v>82</v>
      </c>
      <c r="D9" s="33" t="s">
        <v>83</v>
      </c>
      <c r="E9" s="33" t="s">
        <v>84</v>
      </c>
      <c r="F9" s="31" t="s">
        <v>18</v>
      </c>
      <c r="G9" s="31" t="s">
        <v>15</v>
      </c>
      <c r="H9" s="33" t="s">
        <v>85</v>
      </c>
      <c r="I9" s="32" t="n">
        <v>46322</v>
      </c>
      <c r="J9" s="32"/>
      <c r="K9" s="34" t="n">
        <f aca="false">IF($B9="","",IFERROR(INDEX(Lists!$B$5:$B$7,MATCH($F9,Lists!$A$5:$A$7,0)),""))</f>
        <v>2</v>
      </c>
      <c r="L9" s="35" t="n">
        <f aca="false">IF(OR($B9="",$K9=""),"",WORKDAY($B9,$K9))</f>
        <v>46321</v>
      </c>
      <c r="M9" s="34" t="n">
        <f aca="false">IF(OR($B9="",$I9=""),"",IF($G9="Completed","",$I9-AsOf))</f>
        <v>1</v>
      </c>
      <c r="N9" s="34" t="str">
        <f aca="false">IF(OR($B9="",$J9=""),"",$J9-$B9)</f>
        <v/>
      </c>
      <c r="O9" s="34" t="n">
        <f aca="false">IF($B9="","",IF($G9="Completed","",AsOf-$B9))</f>
        <v>4</v>
      </c>
      <c r="P9" s="36" t="str">
        <f aca="false">IF($B9="","",IF($G9="Completed",IF(AND($J9&lt;&gt;"",$J9&gt;$I9),"Done (Late)","Done"),IF($I9="","No deadline",IF($I9&lt;AsOf,"OVERDUE",IF($I9-AsOf&lt;=Lists!$B$9,"Due Soon","On Track")))))</f>
        <v>Due Soon</v>
      </c>
      <c r="Q9" s="36" t="str">
        <f aca="false">IF(OR($B9="",$L9=""),"",IF($G9="Completed",IF($J9="","",IF($J9&lt;=$L9,"Met","Missed")),IF(AsOf&gt;$L9,"Breached","Within SLA")))</f>
        <v>Within SLA</v>
      </c>
      <c r="R9" s="34" t="n">
        <f aca="false">IF($B9="","",IF($G9="Completed",0,IFERROR(INDEX(Lists!$C$5:$C$7,MATCH($F9,Lists!$A$5:$A$7,0)),1)*IF($I9="",1,IF($I9&lt;AsOf,3,IF($I9-AsOf&lt;=Lists!$B$9,2,1)))))</f>
        <v>6</v>
      </c>
      <c r="S9" s="37" t="n">
        <f aca="false">IF($B9="","",$R9+(1000-ROW())/100000)</f>
        <v>6.00991</v>
      </c>
      <c r="T9" s="36" t="str">
        <f aca="false">IF($B9="","",IF(AND($G9="Completed",$J9=""),"Missing completion date",IF(AND($G9&lt;&gt;"Completed",$J9&lt;&gt;""),"Completion date on open request",IF(AND($I9&lt;&gt;"",$I9&lt;$B9),"Deadline before raised","OK"))))</f>
        <v>OK</v>
      </c>
    </row>
    <row r="10" customFormat="false" ht="15" hidden="false" customHeight="false" outlineLevel="0" collapsed="false">
      <c r="A10" s="31" t="s">
        <v>86</v>
      </c>
      <c r="B10" s="32" t="n">
        <v>46321</v>
      </c>
      <c r="C10" s="33" t="s">
        <v>87</v>
      </c>
      <c r="D10" s="33" t="s">
        <v>88</v>
      </c>
      <c r="E10" s="33" t="s">
        <v>89</v>
      </c>
      <c r="F10" s="31" t="s">
        <v>20</v>
      </c>
      <c r="G10" s="31" t="s">
        <v>14</v>
      </c>
      <c r="H10" s="33" t="s">
        <v>90</v>
      </c>
      <c r="I10" s="32" t="n">
        <v>46330</v>
      </c>
      <c r="J10" s="32"/>
      <c r="K10" s="34" t="n">
        <f aca="false">IF($B10="","",IFERROR(INDEX(Lists!$B$5:$B$7,MATCH($F10,Lists!$A$5:$A$7,0)),""))</f>
        <v>8</v>
      </c>
      <c r="L10" s="35" t="n">
        <f aca="false">IF(OR($B10="",$K10=""),"",WORKDAY($B10,$K10))</f>
        <v>46331</v>
      </c>
      <c r="M10" s="34" t="n">
        <f aca="false">IF(OR($B10="",$I10=""),"",IF($G10="Completed","",$I10-AsOf))</f>
        <v>9</v>
      </c>
      <c r="N10" s="34" t="str">
        <f aca="false">IF(OR($B10="",$J10=""),"",$J10-$B10)</f>
        <v/>
      </c>
      <c r="O10" s="34" t="n">
        <f aca="false">IF($B10="","",IF($G10="Completed","",AsOf-$B10))</f>
        <v>0</v>
      </c>
      <c r="P10" s="36" t="str">
        <f aca="false">IF($B10="","",IF($G10="Completed",IF(AND($J10&lt;&gt;"",$J10&gt;$I10),"Done (Late)","Done"),IF($I10="","No deadline",IF($I10&lt;AsOf,"OVERDUE",IF($I10-AsOf&lt;=Lists!$B$9,"Due Soon","On Track")))))</f>
        <v>On Track</v>
      </c>
      <c r="Q10" s="36" t="str">
        <f aca="false">IF(OR($B10="",$L10=""),"",IF($G10="Completed",IF($J10="","",IF($J10&lt;=$L10,"Met","Missed")),IF(AsOf&gt;$L10,"Breached","Within SLA")))</f>
        <v>Within SLA</v>
      </c>
      <c r="R10" s="34" t="n">
        <f aca="false">IF($B10="","",IF($G10="Completed",0,IFERROR(INDEX(Lists!$C$5:$C$7,MATCH($F10,Lists!$A$5:$A$7,0)),1)*IF($I10="",1,IF($I10&lt;AsOf,3,IF($I10-AsOf&lt;=Lists!$B$9,2,1)))))</f>
        <v>1</v>
      </c>
      <c r="S10" s="37" t="n">
        <f aca="false">IF($B10="","",$R10+(1000-ROW())/100000)</f>
        <v>1.0099</v>
      </c>
      <c r="T10" s="36" t="str">
        <f aca="false">IF($B10="","",IF(AND($G10="Completed",$J10=""),"Missing completion date",IF(AND($G10&lt;&gt;"Completed",$J10&lt;&gt;""),"Completion date on open request",IF(AND($I10&lt;&gt;"",$I10&lt;$B10),"Deadline before raised","OK"))))</f>
        <v>OK</v>
      </c>
    </row>
    <row r="11" customFormat="false" ht="15" hidden="false" customHeight="false" outlineLevel="0" collapsed="false">
      <c r="A11" s="31" t="s">
        <v>91</v>
      </c>
      <c r="B11" s="32" t="n">
        <v>46314</v>
      </c>
      <c r="C11" s="33" t="s">
        <v>67</v>
      </c>
      <c r="D11" s="33" t="s">
        <v>92</v>
      </c>
      <c r="E11" s="33" t="s">
        <v>93</v>
      </c>
      <c r="F11" s="31" t="s">
        <v>18</v>
      </c>
      <c r="G11" s="31" t="s">
        <v>14</v>
      </c>
      <c r="H11" s="33" t="s">
        <v>70</v>
      </c>
      <c r="I11" s="32" t="n">
        <v>46319</v>
      </c>
      <c r="J11" s="32"/>
      <c r="K11" s="34" t="n">
        <f aca="false">IF($B11="","",IFERROR(INDEX(Lists!$B$5:$B$7,MATCH($F11,Lists!$A$5:$A$7,0)),""))</f>
        <v>2</v>
      </c>
      <c r="L11" s="35" t="n">
        <f aca="false">IF(OR($B11="",$K11=""),"",WORKDAY($B11,$K11))</f>
        <v>46316</v>
      </c>
      <c r="M11" s="34" t="n">
        <f aca="false">IF(OR($B11="",$I11=""),"",IF($G11="Completed","",$I11-AsOf))</f>
        <v>-2</v>
      </c>
      <c r="N11" s="34" t="str">
        <f aca="false">IF(OR($B11="",$J11=""),"",$J11-$B11)</f>
        <v/>
      </c>
      <c r="O11" s="34" t="n">
        <f aca="false">IF($B11="","",IF($G11="Completed","",AsOf-$B11))</f>
        <v>7</v>
      </c>
      <c r="P11" s="36" t="str">
        <f aca="false">IF($B11="","",IF($G11="Completed",IF(AND($J11&lt;&gt;"",$J11&gt;$I11),"Done (Late)","Done"),IF($I11="","No deadline",IF($I11&lt;AsOf,"OVERDUE",IF($I11-AsOf&lt;=Lists!$B$9,"Due Soon","On Track")))))</f>
        <v>OVERDUE</v>
      </c>
      <c r="Q11" s="36" t="str">
        <f aca="false">IF(OR($B11="",$L11=""),"",IF($G11="Completed",IF($J11="","",IF($J11&lt;=$L11,"Met","Missed")),IF(AsOf&gt;$L11,"Breached","Within SLA")))</f>
        <v>Breached</v>
      </c>
      <c r="R11" s="34" t="n">
        <f aca="false">IF($B11="","",IF($G11="Completed",0,IFERROR(INDEX(Lists!$C$5:$C$7,MATCH($F11,Lists!$A$5:$A$7,0)),1)*IF($I11="",1,IF($I11&lt;AsOf,3,IF($I11-AsOf&lt;=Lists!$B$9,2,1)))))</f>
        <v>9</v>
      </c>
      <c r="S11" s="37" t="n">
        <f aca="false">IF($B11="","",$R11+(1000-ROW())/100000)</f>
        <v>9.00989</v>
      </c>
      <c r="T11" s="36" t="str">
        <f aca="false">IF($B11="","",IF(AND($G11="Completed",$J11=""),"Missing completion date",IF(AND($G11&lt;&gt;"Completed",$J11&lt;&gt;""),"Completion date on open request",IF(AND($I11&lt;&gt;"",$I11&lt;$B11),"Deadline before raised","OK"))))</f>
        <v>OK</v>
      </c>
    </row>
    <row r="12" customFormat="false" ht="15" hidden="false" customHeight="false" outlineLevel="0" collapsed="false">
      <c r="A12" s="31" t="s">
        <v>94</v>
      </c>
      <c r="B12" s="32" t="n">
        <v>46311</v>
      </c>
      <c r="C12" s="33" t="s">
        <v>72</v>
      </c>
      <c r="D12" s="33" t="s">
        <v>73</v>
      </c>
      <c r="E12" s="33" t="s">
        <v>95</v>
      </c>
      <c r="F12" s="31" t="s">
        <v>19</v>
      </c>
      <c r="G12" s="31" t="s">
        <v>16</v>
      </c>
      <c r="H12" s="33" t="s">
        <v>75</v>
      </c>
      <c r="I12" s="32" t="n">
        <v>46318</v>
      </c>
      <c r="J12" s="32" t="n">
        <v>46317</v>
      </c>
      <c r="K12" s="34" t="n">
        <f aca="false">IF($B12="","",IFERROR(INDEX(Lists!$B$5:$B$7,MATCH($F12,Lists!$A$5:$A$7,0)),""))</f>
        <v>5</v>
      </c>
      <c r="L12" s="35" t="n">
        <f aca="false">IF(OR($B12="",$K12=""),"",WORKDAY($B12,$K12))</f>
        <v>46318</v>
      </c>
      <c r="M12" s="34" t="str">
        <f aca="false">IF(OR($B12="",$I12=""),"",IF($G12="Completed","",$I12-AsOf))</f>
        <v/>
      </c>
      <c r="N12" s="34" t="n">
        <f aca="false">IF(OR($B12="",$J12=""),"",$J12-$B12)</f>
        <v>6</v>
      </c>
      <c r="O12" s="34" t="str">
        <f aca="false">IF($B12="","",IF($G12="Completed","",AsOf-$B12))</f>
        <v/>
      </c>
      <c r="P12" s="36" t="str">
        <f aca="false">IF($B12="","",IF($G12="Completed",IF(AND($J12&lt;&gt;"",$J12&gt;$I12),"Done (Late)","Done"),IF($I12="","No deadline",IF($I12&lt;AsOf,"OVERDUE",IF($I12-AsOf&lt;=Lists!$B$9,"Due Soon","On Track")))))</f>
        <v>Done</v>
      </c>
      <c r="Q12" s="36" t="str">
        <f aca="false">IF(OR($B12="",$L12=""),"",IF($G12="Completed",IF($J12="","",IF($J12&lt;=$L12,"Met","Missed")),IF(AsOf&gt;$L12,"Breached","Within SLA")))</f>
        <v>Met</v>
      </c>
      <c r="R12" s="34" t="n">
        <f aca="false">IF($B12="","",IF($G12="Completed",0,IFERROR(INDEX(Lists!$C$5:$C$7,MATCH($F12,Lists!$A$5:$A$7,0)),1)*IF($I12="",1,IF($I12&lt;AsOf,3,IF($I12-AsOf&lt;=Lists!$B$9,2,1)))))</f>
        <v>0</v>
      </c>
      <c r="S12" s="37" t="n">
        <f aca="false">IF($B12="","",$R12+(1000-ROW())/100000)</f>
        <v>0.00988</v>
      </c>
      <c r="T12" s="36" t="str">
        <f aca="false">IF($B12="","",IF(AND($G12="Completed",$J12=""),"Missing completion date",IF(AND($G12&lt;&gt;"Completed",$J12&lt;&gt;""),"Completion date on open request",IF(AND($I12&lt;&gt;"",$I12&lt;$B12),"Deadline before raised","OK"))))</f>
        <v>OK</v>
      </c>
    </row>
    <row r="13" customFormat="false" ht="15" hidden="false" customHeight="false" outlineLevel="0" collapsed="false">
      <c r="A13" s="31" t="s">
        <v>96</v>
      </c>
      <c r="B13" s="32" t="n">
        <v>46315</v>
      </c>
      <c r="C13" s="33" t="s">
        <v>77</v>
      </c>
      <c r="D13" s="33" t="s">
        <v>78</v>
      </c>
      <c r="E13" s="33" t="s">
        <v>97</v>
      </c>
      <c r="F13" s="31" t="s">
        <v>19</v>
      </c>
      <c r="G13" s="31" t="s">
        <v>15</v>
      </c>
      <c r="H13" s="33" t="s">
        <v>98</v>
      </c>
      <c r="I13" s="32" t="n">
        <v>46324</v>
      </c>
      <c r="J13" s="32"/>
      <c r="K13" s="34" t="n">
        <f aca="false">IF($B13="","",IFERROR(INDEX(Lists!$B$5:$B$7,MATCH($F13,Lists!$A$5:$A$7,0)),""))</f>
        <v>5</v>
      </c>
      <c r="L13" s="35" t="n">
        <f aca="false">IF(OR($B13="",$K13=""),"",WORKDAY($B13,$K13))</f>
        <v>46322</v>
      </c>
      <c r="M13" s="34" t="n">
        <f aca="false">IF(OR($B13="",$I13=""),"",IF($G13="Completed","",$I13-AsOf))</f>
        <v>3</v>
      </c>
      <c r="N13" s="34" t="str">
        <f aca="false">IF(OR($B13="",$J13=""),"",$J13-$B13)</f>
        <v/>
      </c>
      <c r="O13" s="34" t="n">
        <f aca="false">IF($B13="","",IF($G13="Completed","",AsOf-$B13))</f>
        <v>6</v>
      </c>
      <c r="P13" s="36" t="str">
        <f aca="false">IF($B13="","",IF($G13="Completed",IF(AND($J13&lt;&gt;"",$J13&gt;$I13),"Done (Late)","Done"),IF($I13="","No deadline",IF($I13&lt;AsOf,"OVERDUE",IF($I13-AsOf&lt;=Lists!$B$9,"Due Soon","On Track")))))</f>
        <v>On Track</v>
      </c>
      <c r="Q13" s="36" t="str">
        <f aca="false">IF(OR($B13="",$L13=""),"",IF($G13="Completed",IF($J13="","",IF($J13&lt;=$L13,"Met","Missed")),IF(AsOf&gt;$L13,"Breached","Within SLA")))</f>
        <v>Within SLA</v>
      </c>
      <c r="R13" s="34" t="n">
        <f aca="false">IF($B13="","",IF($G13="Completed",0,IFERROR(INDEX(Lists!$C$5:$C$7,MATCH($F13,Lists!$A$5:$A$7,0)),1)*IF($I13="",1,IF($I13&lt;AsOf,3,IF($I13-AsOf&lt;=Lists!$B$9,2,1)))))</f>
        <v>2</v>
      </c>
      <c r="S13" s="37" t="n">
        <f aca="false">IF($B13="","",$R13+(1000-ROW())/100000)</f>
        <v>2.00987</v>
      </c>
      <c r="T13" s="36" t="str">
        <f aca="false">IF($B13="","",IF(AND($G13="Completed",$J13=""),"Missing completion date",IF(AND($G13&lt;&gt;"Completed",$J13&lt;&gt;""),"Completion date on open request",IF(AND($I13&lt;&gt;"",$I13&lt;$B13),"Deadline before raised","OK"))))</f>
        <v>OK</v>
      </c>
    </row>
    <row r="14" customFormat="false" ht="15" hidden="false" customHeight="false" outlineLevel="0" collapsed="false">
      <c r="A14" s="31" t="s">
        <v>99</v>
      </c>
      <c r="B14" s="32" t="n">
        <v>46310</v>
      </c>
      <c r="C14" s="33" t="s">
        <v>100</v>
      </c>
      <c r="D14" s="33" t="s">
        <v>83</v>
      </c>
      <c r="E14" s="33" t="s">
        <v>101</v>
      </c>
      <c r="F14" s="31" t="s">
        <v>18</v>
      </c>
      <c r="G14" s="31" t="s">
        <v>14</v>
      </c>
      <c r="H14" s="33" t="s">
        <v>102</v>
      </c>
      <c r="I14" s="32" t="n">
        <v>46317</v>
      </c>
      <c r="J14" s="32"/>
      <c r="K14" s="34" t="n">
        <f aca="false">IF($B14="","",IFERROR(INDEX(Lists!$B$5:$B$7,MATCH($F14,Lists!$A$5:$A$7,0)),""))</f>
        <v>2</v>
      </c>
      <c r="L14" s="35" t="n">
        <f aca="false">IF(OR($B14="",$K14=""),"",WORKDAY($B14,$K14))</f>
        <v>46314</v>
      </c>
      <c r="M14" s="34" t="n">
        <f aca="false">IF(OR($B14="",$I14=""),"",IF($G14="Completed","",$I14-AsOf))</f>
        <v>-4</v>
      </c>
      <c r="N14" s="34" t="str">
        <f aca="false">IF(OR($B14="",$J14=""),"",$J14-$B14)</f>
        <v/>
      </c>
      <c r="O14" s="34" t="n">
        <f aca="false">IF($B14="","",IF($G14="Completed","",AsOf-$B14))</f>
        <v>11</v>
      </c>
      <c r="P14" s="36" t="str">
        <f aca="false">IF($B14="","",IF($G14="Completed",IF(AND($J14&lt;&gt;"",$J14&gt;$I14),"Done (Late)","Done"),IF($I14="","No deadline",IF($I14&lt;AsOf,"OVERDUE",IF($I14-AsOf&lt;=Lists!$B$9,"Due Soon","On Track")))))</f>
        <v>OVERDUE</v>
      </c>
      <c r="Q14" s="36" t="str">
        <f aca="false">IF(OR($B14="",$L14=""),"",IF($G14="Completed",IF($J14="","",IF($J14&lt;=$L14,"Met","Missed")),IF(AsOf&gt;$L14,"Breached","Within SLA")))</f>
        <v>Breached</v>
      </c>
      <c r="R14" s="34" t="n">
        <f aca="false">IF($B14="","",IF($G14="Completed",0,IFERROR(INDEX(Lists!$C$5:$C$7,MATCH($F14,Lists!$A$5:$A$7,0)),1)*IF($I14="",1,IF($I14&lt;AsOf,3,IF($I14-AsOf&lt;=Lists!$B$9,2,1)))))</f>
        <v>9</v>
      </c>
      <c r="S14" s="37" t="n">
        <f aca="false">IF($B14="","",$R14+(1000-ROW())/100000)</f>
        <v>9.00986</v>
      </c>
      <c r="T14" s="36" t="str">
        <f aca="false">IF($B14="","",IF(AND($G14="Completed",$J14=""),"Missing completion date",IF(AND($G14&lt;&gt;"Completed",$J14&lt;&gt;""),"Completion date on open request",IF(AND($I14&lt;&gt;"",$I14&lt;$B14),"Deadline before raised","OK"))))</f>
        <v>OK</v>
      </c>
    </row>
    <row r="15" customFormat="false" ht="15" hidden="false" customHeight="false" outlineLevel="0" collapsed="false">
      <c r="A15" s="31" t="s">
        <v>103</v>
      </c>
      <c r="B15" s="32" t="n">
        <v>46314</v>
      </c>
      <c r="C15" s="33" t="s">
        <v>104</v>
      </c>
      <c r="D15" s="33" t="s">
        <v>88</v>
      </c>
      <c r="E15" s="33" t="s">
        <v>105</v>
      </c>
      <c r="F15" s="31" t="s">
        <v>20</v>
      </c>
      <c r="G15" s="31" t="s">
        <v>15</v>
      </c>
      <c r="H15" s="33" t="s">
        <v>90</v>
      </c>
      <c r="I15" s="32" t="n">
        <v>46332</v>
      </c>
      <c r="J15" s="32"/>
      <c r="K15" s="34" t="n">
        <f aca="false">IF($B15="","",IFERROR(INDEX(Lists!$B$5:$B$7,MATCH($F15,Lists!$A$5:$A$7,0)),""))</f>
        <v>8</v>
      </c>
      <c r="L15" s="35" t="n">
        <f aca="false">IF(OR($B15="",$K15=""),"",WORKDAY($B15,$K15))</f>
        <v>46324</v>
      </c>
      <c r="M15" s="34" t="n">
        <f aca="false">IF(OR($B15="",$I15=""),"",IF($G15="Completed","",$I15-AsOf))</f>
        <v>11</v>
      </c>
      <c r="N15" s="34" t="str">
        <f aca="false">IF(OR($B15="",$J15=""),"",$J15-$B15)</f>
        <v/>
      </c>
      <c r="O15" s="34" t="n">
        <f aca="false">IF($B15="","",IF($G15="Completed","",AsOf-$B15))</f>
        <v>7</v>
      </c>
      <c r="P15" s="36" t="str">
        <f aca="false">IF($B15="","",IF($G15="Completed",IF(AND($J15&lt;&gt;"",$J15&gt;$I15),"Done (Late)","Done"),IF($I15="","No deadline",IF($I15&lt;AsOf,"OVERDUE",IF($I15-AsOf&lt;=Lists!$B$9,"Due Soon","On Track")))))</f>
        <v>On Track</v>
      </c>
      <c r="Q15" s="36" t="str">
        <f aca="false">IF(OR($B15="",$L15=""),"",IF($G15="Completed",IF($J15="","",IF($J15&lt;=$L15,"Met","Missed")),IF(AsOf&gt;$L15,"Breached","Within SLA")))</f>
        <v>Within SLA</v>
      </c>
      <c r="R15" s="34" t="n">
        <f aca="false">IF($B15="","",IF($G15="Completed",0,IFERROR(INDEX(Lists!$C$5:$C$7,MATCH($F15,Lists!$A$5:$A$7,0)),1)*IF($I15="",1,IF($I15&lt;AsOf,3,IF($I15-AsOf&lt;=Lists!$B$9,2,1)))))</f>
        <v>1</v>
      </c>
      <c r="S15" s="37" t="n">
        <f aca="false">IF($B15="","",$R15+(1000-ROW())/100000)</f>
        <v>1.00985</v>
      </c>
      <c r="T15" s="36" t="str">
        <f aca="false">IF($B15="","",IF(AND($G15="Completed",$J15=""),"Missing completion date",IF(AND($G15&lt;&gt;"Completed",$J15&lt;&gt;""),"Completion date on open request",IF(AND($I15&lt;&gt;"",$I15&lt;$B15),"Deadline before raised","OK"))))</f>
        <v>OK</v>
      </c>
    </row>
    <row r="16" customFormat="false" ht="15" hidden="false" customHeight="false" outlineLevel="0" collapsed="false">
      <c r="A16" s="31" t="s">
        <v>106</v>
      </c>
      <c r="B16" s="32" t="n">
        <v>46318</v>
      </c>
      <c r="C16" s="33" t="s">
        <v>107</v>
      </c>
      <c r="D16" s="33" t="s">
        <v>73</v>
      </c>
      <c r="E16" s="33" t="s">
        <v>108</v>
      </c>
      <c r="F16" s="31" t="s">
        <v>19</v>
      </c>
      <c r="G16" s="31" t="s">
        <v>14</v>
      </c>
      <c r="H16" s="33" t="s">
        <v>109</v>
      </c>
      <c r="I16" s="32" t="n">
        <v>46328</v>
      </c>
      <c r="J16" s="32"/>
      <c r="K16" s="34" t="n">
        <f aca="false">IF($B16="","",IFERROR(INDEX(Lists!$B$5:$B$7,MATCH($F16,Lists!$A$5:$A$7,0)),""))</f>
        <v>5</v>
      </c>
      <c r="L16" s="35" t="n">
        <f aca="false">IF(OR($B16="",$K16=""),"",WORKDAY($B16,$K16))</f>
        <v>46325</v>
      </c>
      <c r="M16" s="34" t="n">
        <f aca="false">IF(OR($B16="",$I16=""),"",IF($G16="Completed","",$I16-AsOf))</f>
        <v>7</v>
      </c>
      <c r="N16" s="34" t="str">
        <f aca="false">IF(OR($B16="",$J16=""),"",$J16-$B16)</f>
        <v/>
      </c>
      <c r="O16" s="34" t="n">
        <f aca="false">IF($B16="","",IF($G16="Completed","",AsOf-$B16))</f>
        <v>3</v>
      </c>
      <c r="P16" s="36" t="str">
        <f aca="false">IF($B16="","",IF($G16="Completed",IF(AND($J16&lt;&gt;"",$J16&gt;$I16),"Done (Late)","Done"),IF($I16="","No deadline",IF($I16&lt;AsOf,"OVERDUE",IF($I16-AsOf&lt;=Lists!$B$9,"Due Soon","On Track")))))</f>
        <v>On Track</v>
      </c>
      <c r="Q16" s="36" t="str">
        <f aca="false">IF(OR($B16="",$L16=""),"",IF($G16="Completed",IF($J16="","",IF($J16&lt;=$L16,"Met","Missed")),IF(AsOf&gt;$L16,"Breached","Within SLA")))</f>
        <v>Within SLA</v>
      </c>
      <c r="R16" s="34" t="n">
        <f aca="false">IF($B16="","",IF($G16="Completed",0,IFERROR(INDEX(Lists!$C$5:$C$7,MATCH($F16,Lists!$A$5:$A$7,0)),1)*IF($I16="",1,IF($I16&lt;AsOf,3,IF($I16-AsOf&lt;=Lists!$B$9,2,1)))))</f>
        <v>2</v>
      </c>
      <c r="S16" s="37" t="n">
        <f aca="false">IF($B16="","",$R16+(1000-ROW())/100000)</f>
        <v>2.00984</v>
      </c>
      <c r="T16" s="36" t="str">
        <f aca="false">IF($B16="","",IF(AND($G16="Completed",$J16=""),"Missing completion date",IF(AND($G16&lt;&gt;"Completed",$J16&lt;&gt;""),"Completion date on open request",IF(AND($I16&lt;&gt;"",$I16&lt;$B16),"Deadline before raised","OK"))))</f>
        <v>OK</v>
      </c>
    </row>
    <row r="17" customFormat="false" ht="15" hidden="false" customHeight="false" outlineLevel="0" collapsed="false">
      <c r="A17" s="31" t="s">
        <v>110</v>
      </c>
      <c r="B17" s="32" t="n">
        <v>46314</v>
      </c>
      <c r="C17" s="33" t="s">
        <v>67</v>
      </c>
      <c r="D17" s="33" t="s">
        <v>68</v>
      </c>
      <c r="E17" s="33" t="s">
        <v>111</v>
      </c>
      <c r="F17" s="31" t="s">
        <v>19</v>
      </c>
      <c r="G17" s="31" t="s">
        <v>16</v>
      </c>
      <c r="H17" s="33" t="s">
        <v>70</v>
      </c>
      <c r="I17" s="32" t="n">
        <v>46321</v>
      </c>
      <c r="J17" s="32" t="n">
        <v>46321</v>
      </c>
      <c r="K17" s="34" t="n">
        <f aca="false">IF($B17="","",IFERROR(INDEX(Lists!$B$5:$B$7,MATCH($F17,Lists!$A$5:$A$7,0)),""))</f>
        <v>5</v>
      </c>
      <c r="L17" s="35" t="n">
        <f aca="false">IF(OR($B17="",$K17=""),"",WORKDAY($B17,$K17))</f>
        <v>46321</v>
      </c>
      <c r="M17" s="34" t="str">
        <f aca="false">IF(OR($B17="",$I17=""),"",IF($G17="Completed","",$I17-AsOf))</f>
        <v/>
      </c>
      <c r="N17" s="34" t="n">
        <f aca="false">IF(OR($B17="",$J17=""),"",$J17-$B17)</f>
        <v>7</v>
      </c>
      <c r="O17" s="34" t="str">
        <f aca="false">IF($B17="","",IF($G17="Completed","",AsOf-$B17))</f>
        <v/>
      </c>
      <c r="P17" s="36" t="str">
        <f aca="false">IF($B17="","",IF($G17="Completed",IF(AND($J17&lt;&gt;"",$J17&gt;$I17),"Done (Late)","Done"),IF($I17="","No deadline",IF($I17&lt;AsOf,"OVERDUE",IF($I17-AsOf&lt;=Lists!$B$9,"Due Soon","On Track")))))</f>
        <v>Done</v>
      </c>
      <c r="Q17" s="36" t="str">
        <f aca="false">IF(OR($B17="",$L17=""),"",IF($G17="Completed",IF($J17="","",IF($J17&lt;=$L17,"Met","Missed")),IF(AsOf&gt;$L17,"Breached","Within SLA")))</f>
        <v>Met</v>
      </c>
      <c r="R17" s="34" t="n">
        <f aca="false">IF($B17="","",IF($G17="Completed",0,IFERROR(INDEX(Lists!$C$5:$C$7,MATCH($F17,Lists!$A$5:$A$7,0)),1)*IF($I17="",1,IF($I17&lt;AsOf,3,IF($I17-AsOf&lt;=Lists!$B$9,2,1)))))</f>
        <v>0</v>
      </c>
      <c r="S17" s="37" t="n">
        <f aca="false">IF($B17="","",$R17+(1000-ROW())/100000)</f>
        <v>0.00983</v>
      </c>
      <c r="T17" s="36" t="str">
        <f aca="false">IF($B17="","",IF(AND($G17="Completed",$J17=""),"Missing completion date",IF(AND($G17&lt;&gt;"Completed",$J17&lt;&gt;""),"Completion date on open request",IF(AND($I17&lt;&gt;"",$I17&lt;$B17),"Deadline before raised","OK"))))</f>
        <v>OK</v>
      </c>
    </row>
    <row r="18" customFormat="false" ht="15" hidden="false" customHeight="false" outlineLevel="0" collapsed="false">
      <c r="A18" s="31" t="s">
        <v>112</v>
      </c>
      <c r="B18" s="32" t="n">
        <v>46321</v>
      </c>
      <c r="C18" s="33" t="s">
        <v>87</v>
      </c>
      <c r="D18" s="33" t="s">
        <v>73</v>
      </c>
      <c r="E18" s="33" t="s">
        <v>113</v>
      </c>
      <c r="F18" s="31" t="s">
        <v>20</v>
      </c>
      <c r="G18" s="31" t="s">
        <v>14</v>
      </c>
      <c r="H18" s="33" t="s">
        <v>90</v>
      </c>
      <c r="I18" s="32" t="n">
        <v>46335</v>
      </c>
      <c r="J18" s="32"/>
      <c r="K18" s="34" t="n">
        <f aca="false">IF($B18="","",IFERROR(INDEX(Lists!$B$5:$B$7,MATCH($F18,Lists!$A$5:$A$7,0)),""))</f>
        <v>8</v>
      </c>
      <c r="L18" s="35" t="n">
        <f aca="false">IF(OR($B18="",$K18=""),"",WORKDAY($B18,$K18))</f>
        <v>46331</v>
      </c>
      <c r="M18" s="34" t="n">
        <f aca="false">IF(OR($B18="",$I18=""),"",IF($G18="Completed","",$I18-AsOf))</f>
        <v>14</v>
      </c>
      <c r="N18" s="34" t="str">
        <f aca="false">IF(OR($B18="",$J18=""),"",$J18-$B18)</f>
        <v/>
      </c>
      <c r="O18" s="34" t="n">
        <f aca="false">IF($B18="","",IF($G18="Completed","",AsOf-$B18))</f>
        <v>0</v>
      </c>
      <c r="P18" s="36" t="str">
        <f aca="false">IF($B18="","",IF($G18="Completed",IF(AND($J18&lt;&gt;"",$J18&gt;$I18),"Done (Late)","Done"),IF($I18="","No deadline",IF($I18&lt;AsOf,"OVERDUE",IF($I18-AsOf&lt;=Lists!$B$9,"Due Soon","On Track")))))</f>
        <v>On Track</v>
      </c>
      <c r="Q18" s="36" t="str">
        <f aca="false">IF(OR($B18="",$L18=""),"",IF($G18="Completed",IF($J18="","",IF($J18&lt;=$L18,"Met","Missed")),IF(AsOf&gt;$L18,"Breached","Within SLA")))</f>
        <v>Within SLA</v>
      </c>
      <c r="R18" s="34" t="n">
        <f aca="false">IF($B18="","",IF($G18="Completed",0,IFERROR(INDEX(Lists!$C$5:$C$7,MATCH($F18,Lists!$A$5:$A$7,0)),1)*IF($I18="",1,IF($I18&lt;AsOf,3,IF($I18-AsOf&lt;=Lists!$B$9,2,1)))))</f>
        <v>1</v>
      </c>
      <c r="S18" s="37" t="n">
        <f aca="false">IF($B18="","",$R18+(1000-ROW())/100000)</f>
        <v>1.00982</v>
      </c>
      <c r="T18" s="36" t="str">
        <f aca="false">IF($B18="","",IF(AND($G18="Completed",$J18=""),"Missing completion date",IF(AND($G18&lt;&gt;"Completed",$J18&lt;&gt;""),"Completion date on open request",IF(AND($I18&lt;&gt;"",$I18&lt;$B18),"Deadline before raised","OK"))))</f>
        <v>OK</v>
      </c>
    </row>
    <row r="19" customFormat="false" ht="15" hidden="false" customHeight="false" outlineLevel="0" collapsed="false">
      <c r="A19" s="31" t="s">
        <v>114</v>
      </c>
      <c r="B19" s="32" t="n">
        <v>46307</v>
      </c>
      <c r="C19" s="33" t="s">
        <v>77</v>
      </c>
      <c r="D19" s="33" t="s">
        <v>88</v>
      </c>
      <c r="E19" s="33" t="s">
        <v>115</v>
      </c>
      <c r="F19" s="31" t="s">
        <v>19</v>
      </c>
      <c r="G19" s="31" t="s">
        <v>16</v>
      </c>
      <c r="H19" s="33" t="s">
        <v>80</v>
      </c>
      <c r="I19" s="32" t="n">
        <v>46316</v>
      </c>
      <c r="J19" s="32" t="n">
        <v>46318</v>
      </c>
      <c r="K19" s="34" t="n">
        <f aca="false">IF($B19="","",IFERROR(INDEX(Lists!$B$5:$B$7,MATCH($F19,Lists!$A$5:$A$7,0)),""))</f>
        <v>5</v>
      </c>
      <c r="L19" s="35" t="n">
        <f aca="false">IF(OR($B19="",$K19=""),"",WORKDAY($B19,$K19))</f>
        <v>46314</v>
      </c>
      <c r="M19" s="34" t="str">
        <f aca="false">IF(OR($B19="",$I19=""),"",IF($G19="Completed","",$I19-AsOf))</f>
        <v/>
      </c>
      <c r="N19" s="34" t="n">
        <f aca="false">IF(OR($B19="",$J19=""),"",$J19-$B19)</f>
        <v>11</v>
      </c>
      <c r="O19" s="34" t="str">
        <f aca="false">IF($B19="","",IF($G19="Completed","",AsOf-$B19))</f>
        <v/>
      </c>
      <c r="P19" s="36" t="str">
        <f aca="false">IF($B19="","",IF($G19="Completed",IF(AND($J19&lt;&gt;"",$J19&gt;$I19),"Done (Late)","Done"),IF($I19="","No deadline",IF($I19&lt;AsOf,"OVERDUE",IF($I19-AsOf&lt;=Lists!$B$9,"Due Soon","On Track")))))</f>
        <v>Done (Late)</v>
      </c>
      <c r="Q19" s="36" t="str">
        <f aca="false">IF(OR($B19="",$L19=""),"",IF($G19="Completed",IF($J19="","",IF($J19&lt;=$L19,"Met","Missed")),IF(AsOf&gt;$L19,"Breached","Within SLA")))</f>
        <v>Missed</v>
      </c>
      <c r="R19" s="34" t="n">
        <f aca="false">IF($B19="","",IF($G19="Completed",0,IFERROR(INDEX(Lists!$C$5:$C$7,MATCH($F19,Lists!$A$5:$A$7,0)),1)*IF($I19="",1,IF($I19&lt;AsOf,3,IF($I19-AsOf&lt;=Lists!$B$9,2,1)))))</f>
        <v>0</v>
      </c>
      <c r="S19" s="37" t="n">
        <f aca="false">IF($B19="","",$R19+(1000-ROW())/100000)</f>
        <v>0.00981</v>
      </c>
      <c r="T19" s="36" t="str">
        <f aca="false">IF($B19="","",IF(AND($G19="Completed",$J19=""),"Missing completion date",IF(AND($G19&lt;&gt;"Completed",$J19&lt;&gt;""),"Completion date on open request",IF(AND($I19&lt;&gt;"",$I19&lt;$B19),"Deadline before raised","OK"))))</f>
        <v>OK</v>
      </c>
    </row>
    <row r="20" customFormat="false" ht="15" hidden="false" customHeight="false" outlineLevel="0" collapsed="false">
      <c r="A20" s="31" t="s">
        <v>116</v>
      </c>
      <c r="B20" s="32" t="n">
        <v>46317</v>
      </c>
      <c r="C20" s="33" t="s">
        <v>82</v>
      </c>
      <c r="D20" s="33" t="s">
        <v>83</v>
      </c>
      <c r="E20" s="33" t="s">
        <v>117</v>
      </c>
      <c r="F20" s="31" t="s">
        <v>18</v>
      </c>
      <c r="G20" s="31" t="s">
        <v>15</v>
      </c>
      <c r="H20" s="33" t="s">
        <v>85</v>
      </c>
      <c r="I20" s="32" t="n">
        <v>46329</v>
      </c>
      <c r="J20" s="32"/>
      <c r="K20" s="34" t="n">
        <f aca="false">IF($B20="","",IFERROR(INDEX(Lists!$B$5:$B$7,MATCH($F20,Lists!$A$5:$A$7,0)),""))</f>
        <v>2</v>
      </c>
      <c r="L20" s="35" t="n">
        <f aca="false">IF(OR($B20="",$K20=""),"",WORKDAY($B20,$K20))</f>
        <v>46321</v>
      </c>
      <c r="M20" s="34" t="n">
        <f aca="false">IF(OR($B20="",$I20=""),"",IF($G20="Completed","",$I20-AsOf))</f>
        <v>8</v>
      </c>
      <c r="N20" s="34" t="str">
        <f aca="false">IF(OR($B20="",$J20=""),"",$J20-$B20)</f>
        <v/>
      </c>
      <c r="O20" s="34" t="n">
        <f aca="false">IF($B20="","",IF($G20="Completed","",AsOf-$B20))</f>
        <v>4</v>
      </c>
      <c r="P20" s="36" t="str">
        <f aca="false">IF($B20="","",IF($G20="Completed",IF(AND($J20&lt;&gt;"",$J20&gt;$I20),"Done (Late)","Done"),IF($I20="","No deadline",IF($I20&lt;AsOf,"OVERDUE",IF($I20-AsOf&lt;=Lists!$B$9,"Due Soon","On Track")))))</f>
        <v>On Track</v>
      </c>
      <c r="Q20" s="36" t="str">
        <f aca="false">IF(OR($B20="",$L20=""),"",IF($G20="Completed",IF($J20="","",IF($J20&lt;=$L20,"Met","Missed")),IF(AsOf&gt;$L20,"Breached","Within SLA")))</f>
        <v>Within SLA</v>
      </c>
      <c r="R20" s="34" t="n">
        <f aca="false">IF($B20="","",IF($G20="Completed",0,IFERROR(INDEX(Lists!$C$5:$C$7,MATCH($F20,Lists!$A$5:$A$7,0)),1)*IF($I20="",1,IF($I20&lt;AsOf,3,IF($I20-AsOf&lt;=Lists!$B$9,2,1)))))</f>
        <v>3</v>
      </c>
      <c r="S20" s="37" t="n">
        <f aca="false">IF($B20="","",$R20+(1000-ROW())/100000)</f>
        <v>3.0098</v>
      </c>
      <c r="T20" s="36" t="str">
        <f aca="false">IF($B20="","",IF(AND($G20="Completed",$J20=""),"Missing completion date",IF(AND($G20&lt;&gt;"Completed",$J20&lt;&gt;""),"Completion date on open request",IF(AND($I20&lt;&gt;"",$I20&lt;$B20),"Deadline before raised","OK"))))</f>
        <v>OK</v>
      </c>
    </row>
    <row r="21" customFormat="false" ht="15" hidden="false" customHeight="false" outlineLevel="0" collapsed="false">
      <c r="A21" s="31" t="s">
        <v>118</v>
      </c>
      <c r="B21" s="32" t="n">
        <v>46315</v>
      </c>
      <c r="C21" s="33" t="s">
        <v>67</v>
      </c>
      <c r="D21" s="33" t="s">
        <v>119</v>
      </c>
      <c r="E21" s="33" t="s">
        <v>120</v>
      </c>
      <c r="F21" s="31" t="s">
        <v>19</v>
      </c>
      <c r="G21" s="31" t="s">
        <v>15</v>
      </c>
      <c r="H21" s="33" t="s">
        <v>70</v>
      </c>
      <c r="I21" s="32" t="n">
        <v>46325</v>
      </c>
      <c r="J21" s="32"/>
      <c r="K21" s="34" t="n">
        <f aca="false">IF($B21="","",IFERROR(INDEX(Lists!$B$5:$B$7,MATCH($F21,Lists!$A$5:$A$7,0)),""))</f>
        <v>5</v>
      </c>
      <c r="L21" s="35" t="n">
        <f aca="false">IF(OR($B21="",$K21=""),"",WORKDAY($B21,$K21))</f>
        <v>46322</v>
      </c>
      <c r="M21" s="34" t="n">
        <f aca="false">IF(OR($B21="",$I21=""),"",IF($G21="Completed","",$I21-AsOf))</f>
        <v>4</v>
      </c>
      <c r="N21" s="34" t="str">
        <f aca="false">IF(OR($B21="",$J21=""),"",$J21-$B21)</f>
        <v/>
      </c>
      <c r="O21" s="34" t="n">
        <f aca="false">IF($B21="","",IF($G21="Completed","",AsOf-$B21))</f>
        <v>6</v>
      </c>
      <c r="P21" s="36" t="str">
        <f aca="false">IF($B21="","",IF($G21="Completed",IF(AND($J21&lt;&gt;"",$J21&gt;$I21),"Done (Late)","Done"),IF($I21="","No deadline",IF($I21&lt;AsOf,"OVERDUE",IF($I21-AsOf&lt;=Lists!$B$9,"Due Soon","On Track")))))</f>
        <v>On Track</v>
      </c>
      <c r="Q21" s="36" t="str">
        <f aca="false">IF(OR($B21="",$L21=""),"",IF($G21="Completed",IF($J21="","",IF($J21&lt;=$L21,"Met","Missed")),IF(AsOf&gt;$L21,"Breached","Within SLA")))</f>
        <v>Within SLA</v>
      </c>
      <c r="R21" s="34" t="n">
        <f aca="false">IF($B21="","",IF($G21="Completed",0,IFERROR(INDEX(Lists!$C$5:$C$7,MATCH($F21,Lists!$A$5:$A$7,0)),1)*IF($I21="",1,IF($I21&lt;AsOf,3,IF($I21-AsOf&lt;=Lists!$B$9,2,1)))))</f>
        <v>2</v>
      </c>
      <c r="S21" s="37" t="n">
        <f aca="false">IF($B21="","",$R21+(1000-ROW())/100000)</f>
        <v>2.00979</v>
      </c>
      <c r="T21" s="36" t="str">
        <f aca="false">IF($B21="","",IF(AND($G21="Completed",$J21=""),"Missing completion date",IF(AND($G21&lt;&gt;"Completed",$J21&lt;&gt;""),"Completion date on open request",IF(AND($I21&lt;&gt;"",$I21&lt;$B21),"Deadline before raised","OK"))))</f>
        <v>OK</v>
      </c>
    </row>
    <row r="22" customFormat="false" ht="15" hidden="false" customHeight="false" outlineLevel="0" collapsed="false">
      <c r="A22" s="31" t="s">
        <v>121</v>
      </c>
      <c r="B22" s="32" t="n">
        <v>46309</v>
      </c>
      <c r="C22" s="33" t="s">
        <v>72</v>
      </c>
      <c r="D22" s="33" t="s">
        <v>92</v>
      </c>
      <c r="E22" s="33" t="s">
        <v>122</v>
      </c>
      <c r="F22" s="31" t="s">
        <v>18</v>
      </c>
      <c r="G22" s="31" t="s">
        <v>16</v>
      </c>
      <c r="H22" s="33" t="s">
        <v>75</v>
      </c>
      <c r="I22" s="32" t="n">
        <v>46311</v>
      </c>
      <c r="J22" s="32" t="n">
        <v>46310</v>
      </c>
      <c r="K22" s="34" t="n">
        <f aca="false">IF($B22="","",IFERROR(INDEX(Lists!$B$5:$B$7,MATCH($F22,Lists!$A$5:$A$7,0)),""))</f>
        <v>2</v>
      </c>
      <c r="L22" s="35" t="n">
        <f aca="false">IF(OR($B22="",$K22=""),"",WORKDAY($B22,$K22))</f>
        <v>46311</v>
      </c>
      <c r="M22" s="34" t="str">
        <f aca="false">IF(OR($B22="",$I22=""),"",IF($G22="Completed","",$I22-AsOf))</f>
        <v/>
      </c>
      <c r="N22" s="34" t="n">
        <f aca="false">IF(OR($B22="",$J22=""),"",$J22-$B22)</f>
        <v>1</v>
      </c>
      <c r="O22" s="34" t="str">
        <f aca="false">IF($B22="","",IF($G22="Completed","",AsOf-$B22))</f>
        <v/>
      </c>
      <c r="P22" s="36" t="str">
        <f aca="false">IF($B22="","",IF($G22="Completed",IF(AND($J22&lt;&gt;"",$J22&gt;$I22),"Done (Late)","Done"),IF($I22="","No deadline",IF($I22&lt;AsOf,"OVERDUE",IF($I22-AsOf&lt;=Lists!$B$9,"Due Soon","On Track")))))</f>
        <v>Done</v>
      </c>
      <c r="Q22" s="36" t="str">
        <f aca="false">IF(OR($B22="",$L22=""),"",IF($G22="Completed",IF($J22="","",IF($J22&lt;=$L22,"Met","Missed")),IF(AsOf&gt;$L22,"Breached","Within SLA")))</f>
        <v>Met</v>
      </c>
      <c r="R22" s="34" t="n">
        <f aca="false">IF($B22="","",IF($G22="Completed",0,IFERROR(INDEX(Lists!$C$5:$C$7,MATCH($F22,Lists!$A$5:$A$7,0)),1)*IF($I22="",1,IF($I22&lt;AsOf,3,IF($I22-AsOf&lt;=Lists!$B$9,2,1)))))</f>
        <v>0</v>
      </c>
      <c r="S22" s="37" t="n">
        <f aca="false">IF($B22="","",$R22+(1000-ROW())/100000)</f>
        <v>0.00978</v>
      </c>
      <c r="T22" s="36" t="str">
        <f aca="false">IF($B22="","",IF(AND($G22="Completed",$J22=""),"Missing completion date",IF(AND($G22&lt;&gt;"Completed",$J22&lt;&gt;""),"Completion date on open request",IF(AND($I22&lt;&gt;"",$I22&lt;$B22),"Deadline before raised","OK"))))</f>
        <v>OK</v>
      </c>
    </row>
    <row r="23" customFormat="false" ht="15" hidden="false" customHeight="false" outlineLevel="0" collapsed="false">
      <c r="A23" s="31" t="s">
        <v>123</v>
      </c>
      <c r="B23" s="32" t="n">
        <v>46316</v>
      </c>
      <c r="C23" s="33" t="s">
        <v>77</v>
      </c>
      <c r="D23" s="33" t="s">
        <v>119</v>
      </c>
      <c r="E23" s="33" t="s">
        <v>124</v>
      </c>
      <c r="F23" s="31" t="s">
        <v>18</v>
      </c>
      <c r="G23" s="31" t="s">
        <v>15</v>
      </c>
      <c r="H23" s="33" t="s">
        <v>80</v>
      </c>
      <c r="I23" s="32" t="n">
        <v>46323</v>
      </c>
      <c r="J23" s="32"/>
      <c r="K23" s="34" t="n">
        <f aca="false">IF($B23="","",IFERROR(INDEX(Lists!$B$5:$B$7,MATCH($F23,Lists!$A$5:$A$7,0)),""))</f>
        <v>2</v>
      </c>
      <c r="L23" s="35" t="n">
        <f aca="false">IF(OR($B23="",$K23=""),"",WORKDAY($B23,$K23))</f>
        <v>46318</v>
      </c>
      <c r="M23" s="34" t="n">
        <f aca="false">IF(OR($B23="",$I23=""),"",IF($G23="Completed","",$I23-AsOf))</f>
        <v>2</v>
      </c>
      <c r="N23" s="34" t="str">
        <f aca="false">IF(OR($B23="",$J23=""),"",$J23-$B23)</f>
        <v/>
      </c>
      <c r="O23" s="34" t="n">
        <f aca="false">IF($B23="","",IF($G23="Completed","",AsOf-$B23))</f>
        <v>5</v>
      </c>
      <c r="P23" s="36" t="str">
        <f aca="false">IF($B23="","",IF($G23="Completed",IF(AND($J23&lt;&gt;"",$J23&gt;$I23),"Done (Late)","Done"),IF($I23="","No deadline",IF($I23&lt;AsOf,"OVERDUE",IF($I23-AsOf&lt;=Lists!$B$9,"Due Soon","On Track")))))</f>
        <v>Due Soon</v>
      </c>
      <c r="Q23" s="36" t="str">
        <f aca="false">IF(OR($B23="",$L23=""),"",IF($G23="Completed",IF($J23="","",IF($J23&lt;=$L23,"Met","Missed")),IF(AsOf&gt;$L23,"Breached","Within SLA")))</f>
        <v>Breached</v>
      </c>
      <c r="R23" s="34" t="n">
        <f aca="false">IF($B23="","",IF($G23="Completed",0,IFERROR(INDEX(Lists!$C$5:$C$7,MATCH($F23,Lists!$A$5:$A$7,0)),1)*IF($I23="",1,IF($I23&lt;AsOf,3,IF($I23-AsOf&lt;=Lists!$B$9,2,1)))))</f>
        <v>6</v>
      </c>
      <c r="S23" s="37" t="n">
        <f aca="false">IF($B23="","",$R23+(1000-ROW())/100000)</f>
        <v>6.00977</v>
      </c>
      <c r="T23" s="36" t="str">
        <f aca="false">IF($B23="","",IF(AND($G23="Completed",$J23=""),"Missing completion date",IF(AND($G23&lt;&gt;"Completed",$J23&lt;&gt;""),"Completion date on open request",IF(AND($I23&lt;&gt;"",$I23&lt;$B23),"Deadline before raised","OK"))))</f>
        <v>OK</v>
      </c>
    </row>
    <row r="24" customFormat="false" ht="15" hidden="false" customHeight="false" outlineLevel="0" collapsed="false">
      <c r="A24" s="31" t="s">
        <v>125</v>
      </c>
      <c r="B24" s="32" t="n">
        <v>46307</v>
      </c>
      <c r="C24" s="33" t="s">
        <v>100</v>
      </c>
      <c r="D24" s="33" t="s">
        <v>73</v>
      </c>
      <c r="E24" s="33" t="s">
        <v>126</v>
      </c>
      <c r="F24" s="31" t="s">
        <v>19</v>
      </c>
      <c r="G24" s="31" t="s">
        <v>16</v>
      </c>
      <c r="H24" s="33" t="s">
        <v>102</v>
      </c>
      <c r="I24" s="32" t="n">
        <v>46314</v>
      </c>
      <c r="J24" s="32" t="n">
        <v>46314</v>
      </c>
      <c r="K24" s="34" t="n">
        <f aca="false">IF($B24="","",IFERROR(INDEX(Lists!$B$5:$B$7,MATCH($F24,Lists!$A$5:$A$7,0)),""))</f>
        <v>5</v>
      </c>
      <c r="L24" s="35" t="n">
        <f aca="false">IF(OR($B24="",$K24=""),"",WORKDAY($B24,$K24))</f>
        <v>46314</v>
      </c>
      <c r="M24" s="34" t="str">
        <f aca="false">IF(OR($B24="",$I24=""),"",IF($G24="Completed","",$I24-AsOf))</f>
        <v/>
      </c>
      <c r="N24" s="34" t="n">
        <f aca="false">IF(OR($B24="",$J24=""),"",$J24-$B24)</f>
        <v>7</v>
      </c>
      <c r="O24" s="34" t="str">
        <f aca="false">IF($B24="","",IF($G24="Completed","",AsOf-$B24))</f>
        <v/>
      </c>
      <c r="P24" s="36" t="str">
        <f aca="false">IF($B24="","",IF($G24="Completed",IF(AND($J24&lt;&gt;"",$J24&gt;$I24),"Done (Late)","Done"),IF($I24="","No deadline",IF($I24&lt;AsOf,"OVERDUE",IF($I24-AsOf&lt;=Lists!$B$9,"Due Soon","On Track")))))</f>
        <v>Done</v>
      </c>
      <c r="Q24" s="36" t="str">
        <f aca="false">IF(OR($B24="",$L24=""),"",IF($G24="Completed",IF($J24="","",IF($J24&lt;=$L24,"Met","Missed")),IF(AsOf&gt;$L24,"Breached","Within SLA")))</f>
        <v>Met</v>
      </c>
      <c r="R24" s="34" t="n">
        <f aca="false">IF($B24="","",IF($G24="Completed",0,IFERROR(INDEX(Lists!$C$5:$C$7,MATCH($F24,Lists!$A$5:$A$7,0)),1)*IF($I24="",1,IF($I24&lt;AsOf,3,IF($I24-AsOf&lt;=Lists!$B$9,2,1)))))</f>
        <v>0</v>
      </c>
      <c r="S24" s="37" t="n">
        <f aca="false">IF($B24="","",$R24+(1000-ROW())/100000)</f>
        <v>0.00976</v>
      </c>
      <c r="T24" s="36" t="str">
        <f aca="false">IF($B24="","",IF(AND($G24="Completed",$J24=""),"Missing completion date",IF(AND($G24&lt;&gt;"Completed",$J24&lt;&gt;""),"Completion date on open request",IF(AND($I24&lt;&gt;"",$I24&lt;$B24),"Deadline before raised","OK"))))</f>
        <v>OK</v>
      </c>
    </row>
    <row r="25" customFormat="false" ht="15" hidden="false" customHeight="false" outlineLevel="0" collapsed="false">
      <c r="A25" s="31" t="s">
        <v>127</v>
      </c>
      <c r="B25" s="32" t="n">
        <v>46317</v>
      </c>
      <c r="C25" s="33" t="s">
        <v>107</v>
      </c>
      <c r="D25" s="33" t="s">
        <v>73</v>
      </c>
      <c r="E25" s="33" t="s">
        <v>128</v>
      </c>
      <c r="F25" s="31" t="s">
        <v>18</v>
      </c>
      <c r="G25" s="31" t="s">
        <v>14</v>
      </c>
      <c r="H25" s="33" t="s">
        <v>109</v>
      </c>
      <c r="I25" s="32" t="n">
        <v>46321</v>
      </c>
      <c r="J25" s="32"/>
      <c r="K25" s="34" t="n">
        <f aca="false">IF($B25="","",IFERROR(INDEX(Lists!$B$5:$B$7,MATCH($F25,Lists!$A$5:$A$7,0)),""))</f>
        <v>2</v>
      </c>
      <c r="L25" s="35" t="n">
        <f aca="false">IF(OR($B25="",$K25=""),"",WORKDAY($B25,$K25))</f>
        <v>46321</v>
      </c>
      <c r="M25" s="34" t="n">
        <f aca="false">IF(OR($B25="",$I25=""),"",IF($G25="Completed","",$I25-AsOf))</f>
        <v>0</v>
      </c>
      <c r="N25" s="34" t="str">
        <f aca="false">IF(OR($B25="",$J25=""),"",$J25-$B25)</f>
        <v/>
      </c>
      <c r="O25" s="34" t="n">
        <f aca="false">IF($B25="","",IF($G25="Completed","",AsOf-$B25))</f>
        <v>4</v>
      </c>
      <c r="P25" s="36" t="str">
        <f aca="false">IF($B25="","",IF($G25="Completed",IF(AND($J25&lt;&gt;"",$J25&gt;$I25),"Done (Late)","Done"),IF($I25="","No deadline",IF($I25&lt;AsOf,"OVERDUE",IF($I25-AsOf&lt;=Lists!$B$9,"Due Soon","On Track")))))</f>
        <v>Due Soon</v>
      </c>
      <c r="Q25" s="36" t="str">
        <f aca="false">IF(OR($B25="",$L25=""),"",IF($G25="Completed",IF($J25="","",IF($J25&lt;=$L25,"Met","Missed")),IF(AsOf&gt;$L25,"Breached","Within SLA")))</f>
        <v>Within SLA</v>
      </c>
      <c r="R25" s="34" t="n">
        <f aca="false">IF($B25="","",IF($G25="Completed",0,IFERROR(INDEX(Lists!$C$5:$C$7,MATCH($F25,Lists!$A$5:$A$7,0)),1)*IF($I25="",1,IF($I25&lt;AsOf,3,IF($I25-AsOf&lt;=Lists!$B$9,2,1)))))</f>
        <v>6</v>
      </c>
      <c r="S25" s="37" t="n">
        <f aca="false">IF($B25="","",$R25+(1000-ROW())/100000)</f>
        <v>6.00975</v>
      </c>
      <c r="T25" s="36" t="str">
        <f aca="false">IF($B25="","",IF(AND($G25="Completed",$J25=""),"Missing completion date",IF(AND($G25&lt;&gt;"Completed",$J25&lt;&gt;""),"Completion date on open request",IF(AND($I25&lt;&gt;"",$I25&lt;$B25),"Deadline before raised","OK"))))</f>
        <v>OK</v>
      </c>
    </row>
    <row r="26" customFormat="false" ht="15" hidden="false" customHeight="false" outlineLevel="0" collapsed="false">
      <c r="A26" s="31" t="s">
        <v>129</v>
      </c>
      <c r="B26" s="32" t="n">
        <v>46308</v>
      </c>
      <c r="C26" s="33" t="s">
        <v>87</v>
      </c>
      <c r="D26" s="33" t="s">
        <v>92</v>
      </c>
      <c r="E26" s="33" t="s">
        <v>130</v>
      </c>
      <c r="F26" s="31" t="s">
        <v>18</v>
      </c>
      <c r="G26" s="31" t="s">
        <v>16</v>
      </c>
      <c r="H26" s="33" t="s">
        <v>90</v>
      </c>
      <c r="I26" s="32" t="n">
        <v>46311</v>
      </c>
      <c r="J26" s="32" t="n">
        <v>46311</v>
      </c>
      <c r="K26" s="34" t="n">
        <f aca="false">IF($B26="","",IFERROR(INDEX(Lists!$B$5:$B$7,MATCH($F26,Lists!$A$5:$A$7,0)),""))</f>
        <v>2</v>
      </c>
      <c r="L26" s="35" t="n">
        <f aca="false">IF(OR($B26="",$K26=""),"",WORKDAY($B26,$K26))</f>
        <v>46310</v>
      </c>
      <c r="M26" s="34" t="str">
        <f aca="false">IF(OR($B26="",$I26=""),"",IF($G26="Completed","",$I26-AsOf))</f>
        <v/>
      </c>
      <c r="N26" s="34" t="n">
        <f aca="false">IF(OR($B26="",$J26=""),"",$J26-$B26)</f>
        <v>3</v>
      </c>
      <c r="O26" s="34" t="str">
        <f aca="false">IF($B26="","",IF($G26="Completed","",AsOf-$B26))</f>
        <v/>
      </c>
      <c r="P26" s="36" t="str">
        <f aca="false">IF($B26="","",IF($G26="Completed",IF(AND($J26&lt;&gt;"",$J26&gt;$I26),"Done (Late)","Done"),IF($I26="","No deadline",IF($I26&lt;AsOf,"OVERDUE",IF($I26-AsOf&lt;=Lists!$B$9,"Due Soon","On Track")))))</f>
        <v>Done</v>
      </c>
      <c r="Q26" s="36" t="str">
        <f aca="false">IF(OR($B26="",$L26=""),"",IF($G26="Completed",IF($J26="","",IF($J26&lt;=$L26,"Met","Missed")),IF(AsOf&gt;$L26,"Breached","Within SLA")))</f>
        <v>Missed</v>
      </c>
      <c r="R26" s="34" t="n">
        <f aca="false">IF($B26="","",IF($G26="Completed",0,IFERROR(INDEX(Lists!$C$5:$C$7,MATCH($F26,Lists!$A$5:$A$7,0)),1)*IF($I26="",1,IF($I26&lt;AsOf,3,IF($I26-AsOf&lt;=Lists!$B$9,2,1)))))</f>
        <v>0</v>
      </c>
      <c r="S26" s="37" t="n">
        <f aca="false">IF($B26="","",$R26+(1000-ROW())/100000)</f>
        <v>0.00974</v>
      </c>
      <c r="T26" s="36" t="str">
        <f aca="false">IF($B26="","",IF(AND($G26="Completed",$J26=""),"Missing completion date",IF(AND($G26&lt;&gt;"Completed",$J26&lt;&gt;""),"Completion date on open request",IF(AND($I26&lt;&gt;"",$I26&lt;$B26),"Deadline before raised","OK"))))</f>
        <v>OK</v>
      </c>
    </row>
    <row r="27" customFormat="false" ht="15" hidden="false" customHeight="false" outlineLevel="0" collapsed="false">
      <c r="A27" s="31" t="s">
        <v>131</v>
      </c>
      <c r="B27" s="32" t="n">
        <v>46309</v>
      </c>
      <c r="C27" s="33" t="s">
        <v>104</v>
      </c>
      <c r="D27" s="33" t="s">
        <v>119</v>
      </c>
      <c r="E27" s="33" t="s">
        <v>132</v>
      </c>
      <c r="F27" s="31" t="s">
        <v>20</v>
      </c>
      <c r="G27" s="31" t="s">
        <v>14</v>
      </c>
      <c r="H27" s="33" t="s">
        <v>98</v>
      </c>
      <c r="I27" s="32" t="n">
        <v>46318</v>
      </c>
      <c r="J27" s="32"/>
      <c r="K27" s="34" t="n">
        <f aca="false">IF($B27="","",IFERROR(INDEX(Lists!$B$5:$B$7,MATCH($F27,Lists!$A$5:$A$7,0)),""))</f>
        <v>8</v>
      </c>
      <c r="L27" s="35" t="n">
        <f aca="false">IF(OR($B27="",$K27=""),"",WORKDAY($B27,$K27))</f>
        <v>46321</v>
      </c>
      <c r="M27" s="34" t="n">
        <f aca="false">IF(OR($B27="",$I27=""),"",IF($G27="Completed","",$I27-AsOf))</f>
        <v>-3</v>
      </c>
      <c r="N27" s="34" t="str">
        <f aca="false">IF(OR($B27="",$J27=""),"",$J27-$B27)</f>
        <v/>
      </c>
      <c r="O27" s="34" t="n">
        <f aca="false">IF($B27="","",IF($G27="Completed","",AsOf-$B27))</f>
        <v>12</v>
      </c>
      <c r="P27" s="36" t="str">
        <f aca="false">IF($B27="","",IF($G27="Completed",IF(AND($J27&lt;&gt;"",$J27&gt;$I27),"Done (Late)","Done"),IF($I27="","No deadline",IF($I27&lt;AsOf,"OVERDUE",IF($I27-AsOf&lt;=Lists!$B$9,"Due Soon","On Track")))))</f>
        <v>OVERDUE</v>
      </c>
      <c r="Q27" s="36" t="str">
        <f aca="false">IF(OR($B27="",$L27=""),"",IF($G27="Completed",IF($J27="","",IF($J27&lt;=$L27,"Met","Missed")),IF(AsOf&gt;$L27,"Breached","Within SLA")))</f>
        <v>Within SLA</v>
      </c>
      <c r="R27" s="34" t="n">
        <f aca="false">IF($B27="","",IF($G27="Completed",0,IFERROR(INDEX(Lists!$C$5:$C$7,MATCH($F27,Lists!$A$5:$A$7,0)),1)*IF($I27="",1,IF($I27&lt;AsOf,3,IF($I27-AsOf&lt;=Lists!$B$9,2,1)))))</f>
        <v>3</v>
      </c>
      <c r="S27" s="37" t="n">
        <f aca="false">IF($B27="","",$R27+(1000-ROW())/100000)</f>
        <v>3.00973</v>
      </c>
      <c r="T27" s="36" t="str">
        <f aca="false">IF($B27="","",IF(AND($G27="Completed",$J27=""),"Missing completion date",IF(AND($G27&lt;&gt;"Completed",$J27&lt;&gt;""),"Completion date on open request",IF(AND($I27&lt;&gt;"",$I27&lt;$B27),"Deadline before raised","OK"))))</f>
        <v>OK</v>
      </c>
    </row>
    <row r="28" customFormat="false" ht="15" hidden="false" customHeight="false" outlineLevel="0" collapsed="false">
      <c r="A28" s="31" t="s">
        <v>133</v>
      </c>
      <c r="B28" s="32" t="n">
        <v>46303</v>
      </c>
      <c r="C28" s="33" t="s">
        <v>67</v>
      </c>
      <c r="D28" s="33" t="s">
        <v>68</v>
      </c>
      <c r="E28" s="33" t="s">
        <v>134</v>
      </c>
      <c r="F28" s="31" t="s">
        <v>19</v>
      </c>
      <c r="G28" s="31" t="s">
        <v>16</v>
      </c>
      <c r="H28" s="33" t="s">
        <v>70</v>
      </c>
      <c r="I28" s="32" t="n">
        <v>46308</v>
      </c>
      <c r="J28" s="32" t="n">
        <v>46307</v>
      </c>
      <c r="K28" s="34" t="n">
        <f aca="false">IF($B28="","",IFERROR(INDEX(Lists!$B$5:$B$7,MATCH($F28,Lists!$A$5:$A$7,0)),""))</f>
        <v>5</v>
      </c>
      <c r="L28" s="35" t="n">
        <f aca="false">IF(OR($B28="",$K28=""),"",WORKDAY($B28,$K28))</f>
        <v>46310</v>
      </c>
      <c r="M28" s="34" t="str">
        <f aca="false">IF(OR($B28="",$I28=""),"",IF($G28="Completed","",$I28-AsOf))</f>
        <v/>
      </c>
      <c r="N28" s="34" t="n">
        <f aca="false">IF(OR($B28="",$J28=""),"",$J28-$B28)</f>
        <v>4</v>
      </c>
      <c r="O28" s="34" t="str">
        <f aca="false">IF($B28="","",IF($G28="Completed","",AsOf-$B28))</f>
        <v/>
      </c>
      <c r="P28" s="36" t="str">
        <f aca="false">IF($B28="","",IF($G28="Completed",IF(AND($J28&lt;&gt;"",$J28&gt;$I28),"Done (Late)","Done"),IF($I28="","No deadline",IF($I28&lt;AsOf,"OVERDUE",IF($I28-AsOf&lt;=Lists!$B$9,"Due Soon","On Track")))))</f>
        <v>Done</v>
      </c>
      <c r="Q28" s="36" t="str">
        <f aca="false">IF(OR($B28="",$L28=""),"",IF($G28="Completed",IF($J28="","",IF($J28&lt;=$L28,"Met","Missed")),IF(AsOf&gt;$L28,"Breached","Within SLA")))</f>
        <v>Met</v>
      </c>
      <c r="R28" s="34" t="n">
        <f aca="false">IF($B28="","",IF($G28="Completed",0,IFERROR(INDEX(Lists!$C$5:$C$7,MATCH($F28,Lists!$A$5:$A$7,0)),1)*IF($I28="",1,IF($I28&lt;AsOf,3,IF($I28-AsOf&lt;=Lists!$B$9,2,1)))))</f>
        <v>0</v>
      </c>
      <c r="S28" s="37" t="n">
        <f aca="false">IF($B28="","",$R28+(1000-ROW())/100000)</f>
        <v>0.00972</v>
      </c>
      <c r="T28" s="36" t="str">
        <f aca="false">IF($B28="","",IF(AND($G28="Completed",$J28=""),"Missing completion date",IF(AND($G28&lt;&gt;"Completed",$J28&lt;&gt;""),"Completion date on open request",IF(AND($I28&lt;&gt;"",$I28&lt;$B28),"Deadline before raised","OK"))))</f>
        <v>OK</v>
      </c>
    </row>
    <row r="29" customFormat="false" ht="15" hidden="false" customHeight="false" outlineLevel="0" collapsed="false">
      <c r="A29" s="31" t="s">
        <v>135</v>
      </c>
      <c r="B29" s="32" t="n">
        <v>46304</v>
      </c>
      <c r="C29" s="33" t="s">
        <v>72</v>
      </c>
      <c r="D29" s="33" t="s">
        <v>88</v>
      </c>
      <c r="E29" s="33" t="s">
        <v>136</v>
      </c>
      <c r="F29" s="31" t="s">
        <v>20</v>
      </c>
      <c r="G29" s="31" t="s">
        <v>15</v>
      </c>
      <c r="H29" s="33" t="s">
        <v>75</v>
      </c>
      <c r="I29" s="32" t="n">
        <v>46315</v>
      </c>
      <c r="J29" s="32"/>
      <c r="K29" s="34" t="n">
        <f aca="false">IF($B29="","",IFERROR(INDEX(Lists!$B$5:$B$7,MATCH($F29,Lists!$A$5:$A$7,0)),""))</f>
        <v>8</v>
      </c>
      <c r="L29" s="35" t="n">
        <f aca="false">IF(OR($B29="",$K29=""),"",WORKDAY($B29,$K29))</f>
        <v>46316</v>
      </c>
      <c r="M29" s="34" t="n">
        <f aca="false">IF(OR($B29="",$I29=""),"",IF($G29="Completed","",$I29-AsOf))</f>
        <v>-6</v>
      </c>
      <c r="N29" s="34" t="str">
        <f aca="false">IF(OR($B29="",$J29=""),"",$J29-$B29)</f>
        <v/>
      </c>
      <c r="O29" s="34" t="n">
        <f aca="false">IF($B29="","",IF($G29="Completed","",AsOf-$B29))</f>
        <v>17</v>
      </c>
      <c r="P29" s="36" t="str">
        <f aca="false">IF($B29="","",IF($G29="Completed",IF(AND($J29&lt;&gt;"",$J29&gt;$I29),"Done (Late)","Done"),IF($I29="","No deadline",IF($I29&lt;AsOf,"OVERDUE",IF($I29-AsOf&lt;=Lists!$B$9,"Due Soon","On Track")))))</f>
        <v>OVERDUE</v>
      </c>
      <c r="Q29" s="36" t="str">
        <f aca="false">IF(OR($B29="",$L29=""),"",IF($G29="Completed",IF($J29="","",IF($J29&lt;=$L29,"Met","Missed")),IF(AsOf&gt;$L29,"Breached","Within SLA")))</f>
        <v>Breached</v>
      </c>
      <c r="R29" s="34" t="n">
        <f aca="false">IF($B29="","",IF($G29="Completed",0,IFERROR(INDEX(Lists!$C$5:$C$7,MATCH($F29,Lists!$A$5:$A$7,0)),1)*IF($I29="",1,IF($I29&lt;AsOf,3,IF($I29-AsOf&lt;=Lists!$B$9,2,1)))))</f>
        <v>3</v>
      </c>
      <c r="S29" s="37" t="n">
        <f aca="false">IF($B29="","",$R29+(1000-ROW())/100000)</f>
        <v>3.00971</v>
      </c>
      <c r="T29" s="36" t="str">
        <f aca="false">IF($B29="","",IF(AND($G29="Completed",$J29=""),"Missing completion date",IF(AND($G29&lt;&gt;"Completed",$J29&lt;&gt;""),"Completion date on open request",IF(AND($I29&lt;&gt;"",$I29&lt;$B29),"Deadline before raised","OK"))))</f>
        <v>OK</v>
      </c>
    </row>
    <row r="30" customFormat="false" ht="15" hidden="false" customHeight="false" outlineLevel="0" collapsed="false">
      <c r="A30" s="31" t="s">
        <v>137</v>
      </c>
      <c r="B30" s="32" t="n">
        <v>46300</v>
      </c>
      <c r="C30" s="33" t="s">
        <v>82</v>
      </c>
      <c r="D30" s="33" t="s">
        <v>73</v>
      </c>
      <c r="E30" s="33" t="s">
        <v>138</v>
      </c>
      <c r="F30" s="31" t="s">
        <v>19</v>
      </c>
      <c r="G30" s="31" t="s">
        <v>16</v>
      </c>
      <c r="H30" s="33" t="s">
        <v>85</v>
      </c>
      <c r="I30" s="32" t="n">
        <v>46307</v>
      </c>
      <c r="J30" s="32" t="n">
        <v>46307</v>
      </c>
      <c r="K30" s="34" t="n">
        <f aca="false">IF($B30="","",IFERROR(INDEX(Lists!$B$5:$B$7,MATCH($F30,Lists!$A$5:$A$7,0)),""))</f>
        <v>5</v>
      </c>
      <c r="L30" s="35" t="n">
        <f aca="false">IF(OR($B30="",$K30=""),"",WORKDAY($B30,$K30))</f>
        <v>46307</v>
      </c>
      <c r="M30" s="34" t="str">
        <f aca="false">IF(OR($B30="",$I30=""),"",IF($G30="Completed","",$I30-AsOf))</f>
        <v/>
      </c>
      <c r="N30" s="34" t="n">
        <f aca="false">IF(OR($B30="",$J30=""),"",$J30-$B30)</f>
        <v>7</v>
      </c>
      <c r="O30" s="34" t="str">
        <f aca="false">IF($B30="","",IF($G30="Completed","",AsOf-$B30))</f>
        <v/>
      </c>
      <c r="P30" s="36" t="str">
        <f aca="false">IF($B30="","",IF($G30="Completed",IF(AND($J30&lt;&gt;"",$J30&gt;$I30),"Done (Late)","Done"),IF($I30="","No deadline",IF($I30&lt;AsOf,"OVERDUE",IF($I30-AsOf&lt;=Lists!$B$9,"Due Soon","On Track")))))</f>
        <v>Done</v>
      </c>
      <c r="Q30" s="36" t="str">
        <f aca="false">IF(OR($B30="",$L30=""),"",IF($G30="Completed",IF($J30="","",IF($J30&lt;=$L30,"Met","Missed")),IF(AsOf&gt;$L30,"Breached","Within SLA")))</f>
        <v>Met</v>
      </c>
      <c r="R30" s="34" t="n">
        <f aca="false">IF($B30="","",IF($G30="Completed",0,IFERROR(INDEX(Lists!$C$5:$C$7,MATCH($F30,Lists!$A$5:$A$7,0)),1)*IF($I30="",1,IF($I30&lt;AsOf,3,IF($I30-AsOf&lt;=Lists!$B$9,2,1)))))</f>
        <v>0</v>
      </c>
      <c r="S30" s="37" t="n">
        <f aca="false">IF($B30="","",$R30+(1000-ROW())/100000)</f>
        <v>0.0097</v>
      </c>
      <c r="T30" s="36" t="str">
        <f aca="false">IF($B30="","",IF(AND($G30="Completed",$J30=""),"Missing completion date",IF(AND($G30&lt;&gt;"Completed",$J30&lt;&gt;""),"Completion date on open request",IF(AND($I30&lt;&gt;"",$I30&lt;$B30),"Deadline before raised","OK"))))</f>
        <v>OK</v>
      </c>
    </row>
    <row r="31" customFormat="false" ht="15" hidden="false" customHeight="false" outlineLevel="0" collapsed="false">
      <c r="A31" s="31" t="s">
        <v>139</v>
      </c>
      <c r="B31" s="32" t="n">
        <v>46301</v>
      </c>
      <c r="C31" s="33" t="s">
        <v>77</v>
      </c>
      <c r="D31" s="33" t="s">
        <v>78</v>
      </c>
      <c r="E31" s="33" t="s">
        <v>140</v>
      </c>
      <c r="F31" s="31" t="s">
        <v>18</v>
      </c>
      <c r="G31" s="31" t="s">
        <v>16</v>
      </c>
      <c r="H31" s="33" t="s">
        <v>98</v>
      </c>
      <c r="I31" s="32" t="n">
        <v>46304</v>
      </c>
      <c r="J31" s="32" t="n">
        <v>46303</v>
      </c>
      <c r="K31" s="34" t="n">
        <f aca="false">IF($B31="","",IFERROR(INDEX(Lists!$B$5:$B$7,MATCH($F31,Lists!$A$5:$A$7,0)),""))</f>
        <v>2</v>
      </c>
      <c r="L31" s="35" t="n">
        <f aca="false">IF(OR($B31="",$K31=""),"",WORKDAY($B31,$K31))</f>
        <v>46303</v>
      </c>
      <c r="M31" s="34" t="str">
        <f aca="false">IF(OR($B31="",$I31=""),"",IF($G31="Completed","",$I31-AsOf))</f>
        <v/>
      </c>
      <c r="N31" s="34" t="n">
        <f aca="false">IF(OR($B31="",$J31=""),"",$J31-$B31)</f>
        <v>2</v>
      </c>
      <c r="O31" s="34" t="str">
        <f aca="false">IF($B31="","",IF($G31="Completed","",AsOf-$B31))</f>
        <v/>
      </c>
      <c r="P31" s="36" t="str">
        <f aca="false">IF($B31="","",IF($G31="Completed",IF(AND($J31&lt;&gt;"",$J31&gt;$I31),"Done (Late)","Done"),IF($I31="","No deadline",IF($I31&lt;AsOf,"OVERDUE",IF($I31-AsOf&lt;=Lists!$B$9,"Due Soon","On Track")))))</f>
        <v>Done</v>
      </c>
      <c r="Q31" s="36" t="str">
        <f aca="false">IF(OR($B31="",$L31=""),"",IF($G31="Completed",IF($J31="","",IF($J31&lt;=$L31,"Met","Missed")),IF(AsOf&gt;$L31,"Breached","Within SLA")))</f>
        <v>Met</v>
      </c>
      <c r="R31" s="34" t="n">
        <f aca="false">IF($B31="","",IF($G31="Completed",0,IFERROR(INDEX(Lists!$C$5:$C$7,MATCH($F31,Lists!$A$5:$A$7,0)),1)*IF($I31="",1,IF($I31&lt;AsOf,3,IF($I31-AsOf&lt;=Lists!$B$9,2,1)))))</f>
        <v>0</v>
      </c>
      <c r="S31" s="37" t="n">
        <f aca="false">IF($B31="","",$R31+(1000-ROW())/100000)</f>
        <v>0.00969</v>
      </c>
      <c r="T31" s="36" t="str">
        <f aca="false">IF($B31="","",IF(AND($G31="Completed",$J31=""),"Missing completion date",IF(AND($G31&lt;&gt;"Completed",$J31&lt;&gt;""),"Completion date on open request",IF(AND($I31&lt;&gt;"",$I31&lt;$B31),"Deadline before raised","OK"))))</f>
        <v>OK</v>
      </c>
    </row>
    <row r="32" customFormat="false" ht="15" hidden="false" customHeight="false" outlineLevel="0" collapsed="false">
      <c r="A32" s="31" t="s">
        <v>141</v>
      </c>
      <c r="B32" s="32" t="n">
        <v>46296</v>
      </c>
      <c r="C32" s="33" t="s">
        <v>107</v>
      </c>
      <c r="D32" s="33" t="s">
        <v>88</v>
      </c>
      <c r="E32" s="33" t="s">
        <v>142</v>
      </c>
      <c r="F32" s="31" t="s">
        <v>20</v>
      </c>
      <c r="G32" s="31" t="s">
        <v>16</v>
      </c>
      <c r="H32" s="33" t="s">
        <v>109</v>
      </c>
      <c r="I32" s="32" t="n">
        <v>46310</v>
      </c>
      <c r="J32" s="32" t="n">
        <v>46309</v>
      </c>
      <c r="K32" s="34" t="n">
        <f aca="false">IF($B32="","",IFERROR(INDEX(Lists!$B$5:$B$7,MATCH($F32,Lists!$A$5:$A$7,0)),""))</f>
        <v>8</v>
      </c>
      <c r="L32" s="35" t="n">
        <f aca="false">IF(OR($B32="",$K32=""),"",WORKDAY($B32,$K32))</f>
        <v>46308</v>
      </c>
      <c r="M32" s="34" t="str">
        <f aca="false">IF(OR($B32="",$I32=""),"",IF($G32="Completed","",$I32-AsOf))</f>
        <v/>
      </c>
      <c r="N32" s="34" t="n">
        <f aca="false">IF(OR($B32="",$J32=""),"",$J32-$B32)</f>
        <v>13</v>
      </c>
      <c r="O32" s="34" t="str">
        <f aca="false">IF($B32="","",IF($G32="Completed","",AsOf-$B32))</f>
        <v/>
      </c>
      <c r="P32" s="36" t="str">
        <f aca="false">IF($B32="","",IF($G32="Completed",IF(AND($J32&lt;&gt;"",$J32&gt;$I32),"Done (Late)","Done"),IF($I32="","No deadline",IF($I32&lt;AsOf,"OVERDUE",IF($I32-AsOf&lt;=Lists!$B$9,"Due Soon","On Track")))))</f>
        <v>Done</v>
      </c>
      <c r="Q32" s="36" t="str">
        <f aca="false">IF(OR($B32="",$L32=""),"",IF($G32="Completed",IF($J32="","",IF($J32&lt;=$L32,"Met","Missed")),IF(AsOf&gt;$L32,"Breached","Within SLA")))</f>
        <v>Missed</v>
      </c>
      <c r="R32" s="34" t="n">
        <f aca="false">IF($B32="","",IF($G32="Completed",0,IFERROR(INDEX(Lists!$C$5:$C$7,MATCH($F32,Lists!$A$5:$A$7,0)),1)*IF($I32="",1,IF($I32&lt;AsOf,3,IF($I32-AsOf&lt;=Lists!$B$9,2,1)))))</f>
        <v>0</v>
      </c>
      <c r="S32" s="37" t="n">
        <f aca="false">IF($B32="","",$R32+(1000-ROW())/100000)</f>
        <v>0.00968</v>
      </c>
      <c r="T32" s="36" t="str">
        <f aca="false">IF($B32="","",IF(AND($G32="Completed",$J32=""),"Missing completion date",IF(AND($G32&lt;&gt;"Completed",$J32&lt;&gt;""),"Completion date on open request",IF(AND($I32&lt;&gt;"",$I32&lt;$B32),"Deadline before raised","OK"))))</f>
        <v>OK</v>
      </c>
    </row>
    <row r="33" customFormat="false" ht="15" hidden="false" customHeight="false" outlineLevel="0" collapsed="false">
      <c r="A33" s="31" t="s">
        <v>143</v>
      </c>
      <c r="B33" s="32" t="n">
        <v>46318</v>
      </c>
      <c r="C33" s="33" t="s">
        <v>100</v>
      </c>
      <c r="D33" s="33" t="s">
        <v>119</v>
      </c>
      <c r="E33" s="33" t="s">
        <v>144</v>
      </c>
      <c r="F33" s="31" t="s">
        <v>18</v>
      </c>
      <c r="G33" s="31" t="s">
        <v>15</v>
      </c>
      <c r="H33" s="33" t="s">
        <v>102</v>
      </c>
      <c r="I33" s="32" t="n">
        <v>46323</v>
      </c>
      <c r="J33" s="32"/>
      <c r="K33" s="34" t="n">
        <f aca="false">IF($B33="","",IFERROR(INDEX(Lists!$B$5:$B$7,MATCH($F33,Lists!$A$5:$A$7,0)),""))</f>
        <v>2</v>
      </c>
      <c r="L33" s="35" t="n">
        <f aca="false">IF(OR($B33="",$K33=""),"",WORKDAY($B33,$K33))</f>
        <v>46322</v>
      </c>
      <c r="M33" s="34" t="n">
        <f aca="false">IF(OR($B33="",$I33=""),"",IF($G33="Completed","",$I33-AsOf))</f>
        <v>2</v>
      </c>
      <c r="N33" s="34" t="str">
        <f aca="false">IF(OR($B33="",$J33=""),"",$J33-$B33)</f>
        <v/>
      </c>
      <c r="O33" s="34" t="n">
        <f aca="false">IF($B33="","",IF($G33="Completed","",AsOf-$B33))</f>
        <v>3</v>
      </c>
      <c r="P33" s="36" t="str">
        <f aca="false">IF($B33="","",IF($G33="Completed",IF(AND($J33&lt;&gt;"",$J33&gt;$I33),"Done (Late)","Done"),IF($I33="","No deadline",IF($I33&lt;AsOf,"OVERDUE",IF($I33-AsOf&lt;=Lists!$B$9,"Due Soon","On Track")))))</f>
        <v>Due Soon</v>
      </c>
      <c r="Q33" s="36" t="str">
        <f aca="false">IF(OR($B33="",$L33=""),"",IF($G33="Completed",IF($J33="","",IF($J33&lt;=$L33,"Met","Missed")),IF(AsOf&gt;$L33,"Breached","Within SLA")))</f>
        <v>Within SLA</v>
      </c>
      <c r="R33" s="34" t="n">
        <f aca="false">IF($B33="","",IF($G33="Completed",0,IFERROR(INDEX(Lists!$C$5:$C$7,MATCH($F33,Lists!$A$5:$A$7,0)),1)*IF($I33="",1,IF($I33&lt;AsOf,3,IF($I33-AsOf&lt;=Lists!$B$9,2,1)))))</f>
        <v>6</v>
      </c>
      <c r="S33" s="37" t="n">
        <f aca="false">IF($B33="","",$R33+(1000-ROW())/100000)</f>
        <v>6.00967</v>
      </c>
      <c r="T33" s="36" t="str">
        <f aca="false">IF($B33="","",IF(AND($G33="Completed",$J33=""),"Missing completion date",IF(AND($G33&lt;&gt;"Completed",$J33&lt;&gt;""),"Completion date on open request",IF(AND($I33&lt;&gt;"",$I33&lt;$B33),"Deadline before raised","OK"))))</f>
        <v>OK</v>
      </c>
    </row>
    <row r="34" customFormat="false" ht="15" hidden="false" customHeight="false" outlineLevel="0" collapsed="false">
      <c r="A34" s="31" t="s">
        <v>145</v>
      </c>
      <c r="B34" s="32" t="n">
        <v>46317</v>
      </c>
      <c r="C34" s="33" t="s">
        <v>87</v>
      </c>
      <c r="D34" s="33" t="s">
        <v>88</v>
      </c>
      <c r="E34" s="33" t="s">
        <v>146</v>
      </c>
      <c r="F34" s="31" t="s">
        <v>19</v>
      </c>
      <c r="G34" s="31" t="s">
        <v>14</v>
      </c>
      <c r="H34" s="33" t="s">
        <v>80</v>
      </c>
      <c r="I34" s="32" t="n">
        <v>46325</v>
      </c>
      <c r="J34" s="32"/>
      <c r="K34" s="34" t="n">
        <f aca="false">IF($B34="","",IFERROR(INDEX(Lists!$B$5:$B$7,MATCH($F34,Lists!$A$5:$A$7,0)),""))</f>
        <v>5</v>
      </c>
      <c r="L34" s="35" t="n">
        <f aca="false">IF(OR($B34="",$K34=""),"",WORKDAY($B34,$K34))</f>
        <v>46324</v>
      </c>
      <c r="M34" s="34" t="n">
        <f aca="false">IF(OR($B34="",$I34=""),"",IF($G34="Completed","",$I34-AsOf))</f>
        <v>4</v>
      </c>
      <c r="N34" s="34" t="str">
        <f aca="false">IF(OR($B34="",$J34=""),"",$J34-$B34)</f>
        <v/>
      </c>
      <c r="O34" s="34" t="n">
        <f aca="false">IF($B34="","",IF($G34="Completed","",AsOf-$B34))</f>
        <v>4</v>
      </c>
      <c r="P34" s="36" t="str">
        <f aca="false">IF($B34="","",IF($G34="Completed",IF(AND($J34&lt;&gt;"",$J34&gt;$I34),"Done (Late)","Done"),IF($I34="","No deadline",IF($I34&lt;AsOf,"OVERDUE",IF($I34-AsOf&lt;=Lists!$B$9,"Due Soon","On Track")))))</f>
        <v>On Track</v>
      </c>
      <c r="Q34" s="36" t="str">
        <f aca="false">IF(OR($B34="",$L34=""),"",IF($G34="Completed",IF($J34="","",IF($J34&lt;=$L34,"Met","Missed")),IF(AsOf&gt;$L34,"Breached","Within SLA")))</f>
        <v>Within SLA</v>
      </c>
      <c r="R34" s="34" t="n">
        <f aca="false">IF($B34="","",IF($G34="Completed",0,IFERROR(INDEX(Lists!$C$5:$C$7,MATCH($F34,Lists!$A$5:$A$7,0)),1)*IF($I34="",1,IF($I34&lt;AsOf,3,IF($I34-AsOf&lt;=Lists!$B$9,2,1)))))</f>
        <v>2</v>
      </c>
      <c r="S34" s="37" t="n">
        <f aca="false">IF($B34="","",$R34+(1000-ROW())/100000)</f>
        <v>2.00966</v>
      </c>
      <c r="T34" s="36" t="str">
        <f aca="false">IF($B34="","",IF(AND($G34="Completed",$J34=""),"Missing completion date",IF(AND($G34&lt;&gt;"Completed",$J34&lt;&gt;""),"Completion date on open request",IF(AND($I34&lt;&gt;"",$I34&lt;$B34),"Deadline before raised","OK"))))</f>
        <v>OK</v>
      </c>
    </row>
    <row r="35" customFormat="false" ht="15" hidden="false" customHeight="false" outlineLevel="0" collapsed="false">
      <c r="A35" s="31" t="s">
        <v>147</v>
      </c>
      <c r="B35" s="32" t="n">
        <v>46302</v>
      </c>
      <c r="C35" s="33" t="s">
        <v>67</v>
      </c>
      <c r="D35" s="33" t="s">
        <v>92</v>
      </c>
      <c r="E35" s="33" t="s">
        <v>148</v>
      </c>
      <c r="F35" s="31" t="s">
        <v>18</v>
      </c>
      <c r="G35" s="31" t="s">
        <v>16</v>
      </c>
      <c r="H35" s="33" t="s">
        <v>70</v>
      </c>
      <c r="I35" s="32" t="n">
        <v>46304</v>
      </c>
      <c r="J35" s="32" t="n">
        <v>46304</v>
      </c>
      <c r="K35" s="34" t="n">
        <f aca="false">IF($B35="","",IFERROR(INDEX(Lists!$B$5:$B$7,MATCH($F35,Lists!$A$5:$A$7,0)),""))</f>
        <v>2</v>
      </c>
      <c r="L35" s="35" t="n">
        <f aca="false">IF(OR($B35="",$K35=""),"",WORKDAY($B35,$K35))</f>
        <v>46304</v>
      </c>
      <c r="M35" s="34" t="str">
        <f aca="false">IF(OR($B35="",$I35=""),"",IF($G35="Completed","",$I35-AsOf))</f>
        <v/>
      </c>
      <c r="N35" s="34" t="n">
        <f aca="false">IF(OR($B35="",$J35=""),"",$J35-$B35)</f>
        <v>2</v>
      </c>
      <c r="O35" s="34" t="str">
        <f aca="false">IF($B35="","",IF($G35="Completed","",AsOf-$B35))</f>
        <v/>
      </c>
      <c r="P35" s="36" t="str">
        <f aca="false">IF($B35="","",IF($G35="Completed",IF(AND($J35&lt;&gt;"",$J35&gt;$I35),"Done (Late)","Done"),IF($I35="","No deadline",IF($I35&lt;AsOf,"OVERDUE",IF($I35-AsOf&lt;=Lists!$B$9,"Due Soon","On Track")))))</f>
        <v>Done</v>
      </c>
      <c r="Q35" s="36" t="str">
        <f aca="false">IF(OR($B35="",$L35=""),"",IF($G35="Completed",IF($J35="","",IF($J35&lt;=$L35,"Met","Missed")),IF(AsOf&gt;$L35,"Breached","Within SLA")))</f>
        <v>Met</v>
      </c>
      <c r="R35" s="34" t="n">
        <f aca="false">IF($B35="","",IF($G35="Completed",0,IFERROR(INDEX(Lists!$C$5:$C$7,MATCH($F35,Lists!$A$5:$A$7,0)),1)*IF($I35="",1,IF($I35&lt;AsOf,3,IF($I35-AsOf&lt;=Lists!$B$9,2,1)))))</f>
        <v>0</v>
      </c>
      <c r="S35" s="37" t="n">
        <f aca="false">IF($B35="","",$R35+(1000-ROW())/100000)</f>
        <v>0.00965</v>
      </c>
      <c r="T35" s="36" t="str">
        <f aca="false">IF($B35="","",IF(AND($G35="Completed",$J35=""),"Missing completion date",IF(AND($G35&lt;&gt;"Completed",$J35&lt;&gt;""),"Completion date on open request",IF(AND($I35&lt;&gt;"",$I35&lt;$B35),"Deadline before raised","OK"))))</f>
        <v>OK</v>
      </c>
    </row>
    <row r="36" customFormat="false" ht="15" hidden="false" customHeight="false" outlineLevel="0" collapsed="false">
      <c r="A36" s="31" t="s">
        <v>149</v>
      </c>
      <c r="B36" s="32" t="n">
        <v>46321</v>
      </c>
      <c r="C36" s="33" t="s">
        <v>72</v>
      </c>
      <c r="D36" s="33" t="s">
        <v>119</v>
      </c>
      <c r="E36" s="33" t="s">
        <v>150</v>
      </c>
      <c r="F36" s="31" t="s">
        <v>19</v>
      </c>
      <c r="G36" s="31" t="s">
        <v>14</v>
      </c>
      <c r="H36" s="33" t="s">
        <v>75</v>
      </c>
      <c r="I36" s="32" t="n">
        <v>46329</v>
      </c>
      <c r="J36" s="32"/>
      <c r="K36" s="34" t="n">
        <f aca="false">IF($B36="","",IFERROR(INDEX(Lists!$B$5:$B$7,MATCH($F36,Lists!$A$5:$A$7,0)),""))</f>
        <v>5</v>
      </c>
      <c r="L36" s="35" t="n">
        <f aca="false">IF(OR($B36="",$K36=""),"",WORKDAY($B36,$K36))</f>
        <v>46328</v>
      </c>
      <c r="M36" s="34" t="n">
        <f aca="false">IF(OR($B36="",$I36=""),"",IF($G36="Completed","",$I36-AsOf))</f>
        <v>8</v>
      </c>
      <c r="N36" s="34" t="str">
        <f aca="false">IF(OR($B36="",$J36=""),"",$J36-$B36)</f>
        <v/>
      </c>
      <c r="O36" s="34" t="n">
        <f aca="false">IF($B36="","",IF($G36="Completed","",AsOf-$B36))</f>
        <v>0</v>
      </c>
      <c r="P36" s="36" t="str">
        <f aca="false">IF($B36="","",IF($G36="Completed",IF(AND($J36&lt;&gt;"",$J36&gt;$I36),"Done (Late)","Done"),IF($I36="","No deadline",IF($I36&lt;AsOf,"OVERDUE",IF($I36-AsOf&lt;=Lists!$B$9,"Due Soon","On Track")))))</f>
        <v>On Track</v>
      </c>
      <c r="Q36" s="36" t="str">
        <f aca="false">IF(OR($B36="",$L36=""),"",IF($G36="Completed",IF($J36="","",IF($J36&lt;=$L36,"Met","Missed")),IF(AsOf&gt;$L36,"Breached","Within SLA")))</f>
        <v>Within SLA</v>
      </c>
      <c r="R36" s="34" t="n">
        <f aca="false">IF($B36="","",IF($G36="Completed",0,IFERROR(INDEX(Lists!$C$5:$C$7,MATCH($F36,Lists!$A$5:$A$7,0)),1)*IF($I36="",1,IF($I36&lt;AsOf,3,IF($I36-AsOf&lt;=Lists!$B$9,2,1)))))</f>
        <v>2</v>
      </c>
      <c r="S36" s="37" t="n">
        <f aca="false">IF($B36="","",$R36+(1000-ROW())/100000)</f>
        <v>2.00964</v>
      </c>
      <c r="T36" s="36" t="str">
        <f aca="false">IF($B36="","",IF(AND($G36="Completed",$J36=""),"Missing completion date",IF(AND($G36&lt;&gt;"Completed",$J36&lt;&gt;""),"Completion date on open request",IF(AND($I36&lt;&gt;"",$I36&lt;$B36),"Deadline before raised","OK"))))</f>
        <v>OK</v>
      </c>
    </row>
    <row r="37" customFormat="false" ht="15" hidden="false" customHeight="false" outlineLevel="0" collapsed="false">
      <c r="A37" s="31" t="s">
        <v>151</v>
      </c>
      <c r="B37" s="32" t="n">
        <v>46321</v>
      </c>
      <c r="C37" s="33" t="s">
        <v>77</v>
      </c>
      <c r="D37" s="33" t="s">
        <v>78</v>
      </c>
      <c r="E37" s="33" t="s">
        <v>152</v>
      </c>
      <c r="F37" s="31" t="s">
        <v>19</v>
      </c>
      <c r="G37" s="31" t="s">
        <v>14</v>
      </c>
      <c r="H37" s="33" t="s">
        <v>98</v>
      </c>
      <c r="I37" s="32" t="n">
        <v>46331</v>
      </c>
      <c r="J37" s="32"/>
      <c r="K37" s="34" t="n">
        <f aca="false">IF($B37="","",IFERROR(INDEX(Lists!$B$5:$B$7,MATCH($F37,Lists!$A$5:$A$7,0)),""))</f>
        <v>5</v>
      </c>
      <c r="L37" s="35" t="n">
        <f aca="false">IF(OR($B37="",$K37=""),"",WORKDAY($B37,$K37))</f>
        <v>46328</v>
      </c>
      <c r="M37" s="34" t="n">
        <f aca="false">IF(OR($B37="",$I37=""),"",IF($G37="Completed","",$I37-AsOf))</f>
        <v>10</v>
      </c>
      <c r="N37" s="34" t="str">
        <f aca="false">IF(OR($B37="",$J37=""),"",$J37-$B37)</f>
        <v/>
      </c>
      <c r="O37" s="34" t="n">
        <f aca="false">IF($B37="","",IF($G37="Completed","",AsOf-$B37))</f>
        <v>0</v>
      </c>
      <c r="P37" s="36" t="str">
        <f aca="false">IF($B37="","",IF($G37="Completed",IF(AND($J37&lt;&gt;"",$J37&gt;$I37),"Done (Late)","Done"),IF($I37="","No deadline",IF($I37&lt;AsOf,"OVERDUE",IF($I37-AsOf&lt;=Lists!$B$9,"Due Soon","On Track")))))</f>
        <v>On Track</v>
      </c>
      <c r="Q37" s="36" t="str">
        <f aca="false">IF(OR($B37="",$L37=""),"",IF($G37="Completed",IF($J37="","",IF($J37&lt;=$L37,"Met","Missed")),IF(AsOf&gt;$L37,"Breached","Within SLA")))</f>
        <v>Within SLA</v>
      </c>
      <c r="R37" s="34" t="n">
        <f aca="false">IF($B37="","",IF($G37="Completed",0,IFERROR(INDEX(Lists!$C$5:$C$7,MATCH($F37,Lists!$A$5:$A$7,0)),1)*IF($I37="",1,IF($I37&lt;AsOf,3,IF($I37-AsOf&lt;=Lists!$B$9,2,1)))))</f>
        <v>2</v>
      </c>
      <c r="S37" s="37" t="n">
        <f aca="false">IF($B37="","",$R37+(1000-ROW())/100000)</f>
        <v>2.00963</v>
      </c>
      <c r="T37" s="36" t="str">
        <f aca="false">IF($B37="","",IF(AND($G37="Completed",$J37=""),"Missing completion date",IF(AND($G37&lt;&gt;"Completed",$J37&lt;&gt;""),"Completion date on open request",IF(AND($I37&lt;&gt;"",$I37&lt;$B37),"Deadline before raised","OK"))))</f>
        <v>OK</v>
      </c>
    </row>
    <row r="38" customFormat="false" ht="15" hidden="false" customHeight="false" outlineLevel="0" collapsed="false">
      <c r="A38" s="31" t="s">
        <v>153</v>
      </c>
      <c r="B38" s="32" t="n">
        <v>46309</v>
      </c>
      <c r="C38" s="33" t="s">
        <v>82</v>
      </c>
      <c r="D38" s="33" t="s">
        <v>68</v>
      </c>
      <c r="E38" s="33" t="s">
        <v>154</v>
      </c>
      <c r="F38" s="31" t="s">
        <v>19</v>
      </c>
      <c r="G38" s="31" t="s">
        <v>16</v>
      </c>
      <c r="H38" s="33" t="s">
        <v>70</v>
      </c>
      <c r="I38" s="32" t="n">
        <v>46316</v>
      </c>
      <c r="J38" s="32" t="n">
        <v>46315</v>
      </c>
      <c r="K38" s="34" t="n">
        <f aca="false">IF($B38="","",IFERROR(INDEX(Lists!$B$5:$B$7,MATCH($F38,Lists!$A$5:$A$7,0)),""))</f>
        <v>5</v>
      </c>
      <c r="L38" s="35" t="n">
        <f aca="false">IF(OR($B38="",$K38=""),"",WORKDAY($B38,$K38))</f>
        <v>46316</v>
      </c>
      <c r="M38" s="34" t="str">
        <f aca="false">IF(OR($B38="",$I38=""),"",IF($G38="Completed","",$I38-AsOf))</f>
        <v/>
      </c>
      <c r="N38" s="34" t="n">
        <f aca="false">IF(OR($B38="",$J38=""),"",$J38-$B38)</f>
        <v>6</v>
      </c>
      <c r="O38" s="34" t="str">
        <f aca="false">IF($B38="","",IF($G38="Completed","",AsOf-$B38))</f>
        <v/>
      </c>
      <c r="P38" s="36" t="str">
        <f aca="false">IF($B38="","",IF($G38="Completed",IF(AND($J38&lt;&gt;"",$J38&gt;$I38),"Done (Late)","Done"),IF($I38="","No deadline",IF($I38&lt;AsOf,"OVERDUE",IF($I38-AsOf&lt;=Lists!$B$9,"Due Soon","On Track")))))</f>
        <v>Done</v>
      </c>
      <c r="Q38" s="36" t="str">
        <f aca="false">IF(OR($B38="",$L38=""),"",IF($G38="Completed",IF($J38="","",IF($J38&lt;=$L38,"Met","Missed")),IF(AsOf&gt;$L38,"Breached","Within SLA")))</f>
        <v>Met</v>
      </c>
      <c r="R38" s="34" t="n">
        <f aca="false">IF($B38="","",IF($G38="Completed",0,IFERROR(INDEX(Lists!$C$5:$C$7,MATCH($F38,Lists!$A$5:$A$7,0)),1)*IF($I38="",1,IF($I38&lt;AsOf,3,IF($I38-AsOf&lt;=Lists!$B$9,2,1)))))</f>
        <v>0</v>
      </c>
      <c r="S38" s="37" t="n">
        <f aca="false">IF($B38="","",$R38+(1000-ROW())/100000)</f>
        <v>0.00962</v>
      </c>
      <c r="T38" s="36" t="str">
        <f aca="false">IF($B38="","",IF(AND($G38="Completed",$J38=""),"Missing completion date",IF(AND($G38&lt;&gt;"Completed",$J38&lt;&gt;""),"Completion date on open request",IF(AND($I38&lt;&gt;"",$I38&lt;$B38),"Deadline before raised","OK"))))</f>
        <v>OK</v>
      </c>
    </row>
    <row r="39" customFormat="false" ht="15" hidden="false" customHeight="false" outlineLevel="0" collapsed="false">
      <c r="A39" s="31" t="s">
        <v>155</v>
      </c>
      <c r="B39" s="32" t="n">
        <v>46297</v>
      </c>
      <c r="C39" s="33" t="s">
        <v>104</v>
      </c>
      <c r="D39" s="33" t="s">
        <v>73</v>
      </c>
      <c r="E39" s="33" t="s">
        <v>156</v>
      </c>
      <c r="F39" s="31" t="s">
        <v>20</v>
      </c>
      <c r="G39" s="31" t="s">
        <v>16</v>
      </c>
      <c r="H39" s="33" t="s">
        <v>109</v>
      </c>
      <c r="I39" s="32" t="n">
        <v>46309</v>
      </c>
      <c r="J39" s="32" t="n">
        <v>46310</v>
      </c>
      <c r="K39" s="34" t="n">
        <f aca="false">IF($B39="","",IFERROR(INDEX(Lists!$B$5:$B$7,MATCH($F39,Lists!$A$5:$A$7,0)),""))</f>
        <v>8</v>
      </c>
      <c r="L39" s="35" t="n">
        <f aca="false">IF(OR($B39="",$K39=""),"",WORKDAY($B39,$K39))</f>
        <v>46309</v>
      </c>
      <c r="M39" s="34" t="str">
        <f aca="false">IF(OR($B39="",$I39=""),"",IF($G39="Completed","",$I39-AsOf))</f>
        <v/>
      </c>
      <c r="N39" s="34" t="n">
        <f aca="false">IF(OR($B39="",$J39=""),"",$J39-$B39)</f>
        <v>13</v>
      </c>
      <c r="O39" s="34" t="str">
        <f aca="false">IF($B39="","",IF($G39="Completed","",AsOf-$B39))</f>
        <v/>
      </c>
      <c r="P39" s="36" t="str">
        <f aca="false">IF($B39="","",IF($G39="Completed",IF(AND($J39&lt;&gt;"",$J39&gt;$I39),"Done (Late)","Done"),IF($I39="","No deadline",IF($I39&lt;AsOf,"OVERDUE",IF($I39-AsOf&lt;=Lists!$B$9,"Due Soon","On Track")))))</f>
        <v>Done (Late)</v>
      </c>
      <c r="Q39" s="36" t="str">
        <f aca="false">IF(OR($B39="",$L39=""),"",IF($G39="Completed",IF($J39="","",IF($J39&lt;=$L39,"Met","Missed")),IF(AsOf&gt;$L39,"Breached","Within SLA")))</f>
        <v>Missed</v>
      </c>
      <c r="R39" s="34" t="n">
        <f aca="false">IF($B39="","",IF($G39="Completed",0,IFERROR(INDEX(Lists!$C$5:$C$7,MATCH($F39,Lists!$A$5:$A$7,0)),1)*IF($I39="",1,IF($I39&lt;AsOf,3,IF($I39-AsOf&lt;=Lists!$B$9,2,1)))))</f>
        <v>0</v>
      </c>
      <c r="S39" s="37" t="n">
        <f aca="false">IF($B39="","",$R39+(1000-ROW())/100000)</f>
        <v>0.00961</v>
      </c>
      <c r="T39" s="36" t="str">
        <f aca="false">IF($B39="","",IF(AND($G39="Completed",$J39=""),"Missing completion date",IF(AND($G39&lt;&gt;"Completed",$J39&lt;&gt;""),"Completion date on open request",IF(AND($I39&lt;&gt;"",$I39&lt;$B39),"Deadline before raised","OK"))))</f>
        <v>OK</v>
      </c>
    </row>
    <row r="40" customFormat="false" ht="15" hidden="false" customHeight="false" outlineLevel="0" collapsed="false">
      <c r="A40" s="31" t="s">
        <v>157</v>
      </c>
      <c r="B40" s="32" t="n">
        <v>46311</v>
      </c>
      <c r="C40" s="33" t="s">
        <v>107</v>
      </c>
      <c r="D40" s="33" t="s">
        <v>83</v>
      </c>
      <c r="E40" s="33" t="s">
        <v>158</v>
      </c>
      <c r="F40" s="31" t="s">
        <v>19</v>
      </c>
      <c r="G40" s="31" t="s">
        <v>15</v>
      </c>
      <c r="H40" s="33" t="s">
        <v>85</v>
      </c>
      <c r="I40" s="32" t="n">
        <v>46322</v>
      </c>
      <c r="J40" s="32"/>
      <c r="K40" s="34" t="n">
        <f aca="false">IF($B40="","",IFERROR(INDEX(Lists!$B$5:$B$7,MATCH($F40,Lists!$A$5:$A$7,0)),""))</f>
        <v>5</v>
      </c>
      <c r="L40" s="35" t="n">
        <f aca="false">IF(OR($B40="",$K40=""),"",WORKDAY($B40,$K40))</f>
        <v>46318</v>
      </c>
      <c r="M40" s="34" t="n">
        <f aca="false">IF(OR($B40="",$I40=""),"",IF($G40="Completed","",$I40-AsOf))</f>
        <v>1</v>
      </c>
      <c r="N40" s="34" t="str">
        <f aca="false">IF(OR($B40="",$J40=""),"",$J40-$B40)</f>
        <v/>
      </c>
      <c r="O40" s="34" t="n">
        <f aca="false">IF($B40="","",IF($G40="Completed","",AsOf-$B40))</f>
        <v>10</v>
      </c>
      <c r="P40" s="36" t="str">
        <f aca="false">IF($B40="","",IF($G40="Completed",IF(AND($J40&lt;&gt;"",$J40&gt;$I40),"Done (Late)","Done"),IF($I40="","No deadline",IF($I40&lt;AsOf,"OVERDUE",IF($I40-AsOf&lt;=Lists!$B$9,"Due Soon","On Track")))))</f>
        <v>Due Soon</v>
      </c>
      <c r="Q40" s="36" t="str">
        <f aca="false">IF(OR($B40="",$L40=""),"",IF($G40="Completed",IF($J40="","",IF($J40&lt;=$L40,"Met","Missed")),IF(AsOf&gt;$L40,"Breached","Within SLA")))</f>
        <v>Breached</v>
      </c>
      <c r="R40" s="34" t="n">
        <f aca="false">IF($B40="","",IF($G40="Completed",0,IFERROR(INDEX(Lists!$C$5:$C$7,MATCH($F40,Lists!$A$5:$A$7,0)),1)*IF($I40="",1,IF($I40&lt;AsOf,3,IF($I40-AsOf&lt;=Lists!$B$9,2,1)))))</f>
        <v>4</v>
      </c>
      <c r="S40" s="37" t="n">
        <f aca="false">IF($B40="","",$R40+(1000-ROW())/100000)</f>
        <v>4.0096</v>
      </c>
      <c r="T40" s="36" t="str">
        <f aca="false">IF($B40="","",IF(AND($G40="Completed",$J40=""),"Missing completion date",IF(AND($G40&lt;&gt;"Completed",$J40&lt;&gt;""),"Completion date on open request",IF(AND($I40&lt;&gt;"",$I40&lt;$B40),"Deadline before raised","OK"))))</f>
        <v>OK</v>
      </c>
    </row>
    <row r="41" customFormat="false" ht="15" hidden="false" customHeight="false" outlineLevel="0" collapsed="false">
      <c r="A41" s="31" t="s">
        <v>159</v>
      </c>
      <c r="B41" s="32" t="n">
        <v>46318</v>
      </c>
      <c r="C41" s="33" t="s">
        <v>100</v>
      </c>
      <c r="D41" s="33" t="s">
        <v>68</v>
      </c>
      <c r="E41" s="33" t="s">
        <v>160</v>
      </c>
      <c r="F41" s="31" t="s">
        <v>18</v>
      </c>
      <c r="G41" s="31" t="s">
        <v>14</v>
      </c>
      <c r="H41" s="33" t="s">
        <v>70</v>
      </c>
      <c r="I41" s="32" t="n">
        <v>46322</v>
      </c>
      <c r="J41" s="32"/>
      <c r="K41" s="34" t="n">
        <f aca="false">IF($B41="","",IFERROR(INDEX(Lists!$B$5:$B$7,MATCH($F41,Lists!$A$5:$A$7,0)),""))</f>
        <v>2</v>
      </c>
      <c r="L41" s="35" t="n">
        <f aca="false">IF(OR($B41="",$K41=""),"",WORKDAY($B41,$K41))</f>
        <v>46322</v>
      </c>
      <c r="M41" s="34" t="n">
        <f aca="false">IF(OR($B41="",$I41=""),"",IF($G41="Completed","",$I41-AsOf))</f>
        <v>1</v>
      </c>
      <c r="N41" s="34" t="str">
        <f aca="false">IF(OR($B41="",$J41=""),"",$J41-$B41)</f>
        <v/>
      </c>
      <c r="O41" s="34" t="n">
        <f aca="false">IF($B41="","",IF($G41="Completed","",AsOf-$B41))</f>
        <v>3</v>
      </c>
      <c r="P41" s="36" t="str">
        <f aca="false">IF($B41="","",IF($G41="Completed",IF(AND($J41&lt;&gt;"",$J41&gt;$I41),"Done (Late)","Done"),IF($I41="","No deadline",IF($I41&lt;AsOf,"OVERDUE",IF($I41-AsOf&lt;=Lists!$B$9,"Due Soon","On Track")))))</f>
        <v>Due Soon</v>
      </c>
      <c r="Q41" s="36" t="str">
        <f aca="false">IF(OR($B41="",$L41=""),"",IF($G41="Completed",IF($J41="","",IF($J41&lt;=$L41,"Met","Missed")),IF(AsOf&gt;$L41,"Breached","Within SLA")))</f>
        <v>Within SLA</v>
      </c>
      <c r="R41" s="34" t="n">
        <f aca="false">IF($B41="","",IF($G41="Completed",0,IFERROR(INDEX(Lists!$C$5:$C$7,MATCH($F41,Lists!$A$5:$A$7,0)),1)*IF($I41="",1,IF($I41&lt;AsOf,3,IF($I41-AsOf&lt;=Lists!$B$9,2,1)))))</f>
        <v>6</v>
      </c>
      <c r="S41" s="37" t="n">
        <f aca="false">IF($B41="","",$R41+(1000-ROW())/100000)</f>
        <v>6.00959</v>
      </c>
      <c r="T41" s="36" t="str">
        <f aca="false">IF($B41="","",IF(AND($G41="Completed",$J41=""),"Missing completion date",IF(AND($G41&lt;&gt;"Completed",$J41&lt;&gt;""),"Completion date on open request",IF(AND($I41&lt;&gt;"",$I41&lt;$B41),"Deadline before raised","OK"))))</f>
        <v>OK</v>
      </c>
    </row>
    <row r="42" customFormat="false" ht="15" hidden="false" customHeight="false" outlineLevel="0" collapsed="false">
      <c r="A42" s="31" t="s">
        <v>161</v>
      </c>
      <c r="B42" s="32" t="n">
        <v>46316</v>
      </c>
      <c r="C42" s="33" t="s">
        <v>87</v>
      </c>
      <c r="D42" s="33" t="s">
        <v>92</v>
      </c>
      <c r="E42" s="33" t="s">
        <v>162</v>
      </c>
      <c r="F42" s="31" t="s">
        <v>19</v>
      </c>
      <c r="G42" s="31" t="s">
        <v>15</v>
      </c>
      <c r="H42" s="33" t="s">
        <v>80</v>
      </c>
      <c r="I42" s="32" t="n">
        <v>46323</v>
      </c>
      <c r="J42" s="32"/>
      <c r="K42" s="34" t="n">
        <f aca="false">IF($B42="","",IFERROR(INDEX(Lists!$B$5:$B$7,MATCH($F42,Lists!$A$5:$A$7,0)),""))</f>
        <v>5</v>
      </c>
      <c r="L42" s="35" t="n">
        <f aca="false">IF(OR($B42="",$K42=""),"",WORKDAY($B42,$K42))</f>
        <v>46323</v>
      </c>
      <c r="M42" s="34" t="n">
        <f aca="false">IF(OR($B42="",$I42=""),"",IF($G42="Completed","",$I42-AsOf))</f>
        <v>2</v>
      </c>
      <c r="N42" s="34" t="str">
        <f aca="false">IF(OR($B42="",$J42=""),"",$J42-$B42)</f>
        <v/>
      </c>
      <c r="O42" s="34" t="n">
        <f aca="false">IF($B42="","",IF($G42="Completed","",AsOf-$B42))</f>
        <v>5</v>
      </c>
      <c r="P42" s="36" t="str">
        <f aca="false">IF($B42="","",IF($G42="Completed",IF(AND($J42&lt;&gt;"",$J42&gt;$I42),"Done (Late)","Done"),IF($I42="","No deadline",IF($I42&lt;AsOf,"OVERDUE",IF($I42-AsOf&lt;=Lists!$B$9,"Due Soon","On Track")))))</f>
        <v>Due Soon</v>
      </c>
      <c r="Q42" s="36" t="str">
        <f aca="false">IF(OR($B42="",$L42=""),"",IF($G42="Completed",IF($J42="","",IF($J42&lt;=$L42,"Met","Missed")),IF(AsOf&gt;$L42,"Breached","Within SLA")))</f>
        <v>Within SLA</v>
      </c>
      <c r="R42" s="34" t="n">
        <f aca="false">IF($B42="","",IF($G42="Completed",0,IFERROR(INDEX(Lists!$C$5:$C$7,MATCH($F42,Lists!$A$5:$A$7,0)),1)*IF($I42="",1,IF($I42&lt;AsOf,3,IF($I42-AsOf&lt;=Lists!$B$9,2,1)))))</f>
        <v>4</v>
      </c>
      <c r="S42" s="37" t="n">
        <f aca="false">IF($B42="","",$R42+(1000-ROW())/100000)</f>
        <v>4.00958</v>
      </c>
      <c r="T42" s="36" t="str">
        <f aca="false">IF($B42="","",IF(AND($G42="Completed",$J42=""),"Missing completion date",IF(AND($G42&lt;&gt;"Completed",$J42&lt;&gt;""),"Completion date on open request",IF(AND($I42&lt;&gt;"",$I42&lt;$B42),"Deadline before raised","OK"))))</f>
        <v>OK</v>
      </c>
    </row>
    <row r="43" customFormat="false" ht="15" hidden="false" customHeight="false" outlineLevel="0" collapsed="false">
      <c r="A43" s="31" t="s">
        <v>163</v>
      </c>
      <c r="B43" s="32" t="n">
        <v>46321</v>
      </c>
      <c r="C43" s="33" t="s">
        <v>72</v>
      </c>
      <c r="D43" s="33" t="s">
        <v>73</v>
      </c>
      <c r="E43" s="33" t="s">
        <v>164</v>
      </c>
      <c r="F43" s="31" t="s">
        <v>18</v>
      </c>
      <c r="G43" s="31" t="s">
        <v>14</v>
      </c>
      <c r="H43" s="33" t="s">
        <v>75</v>
      </c>
      <c r="I43" s="32" t="n">
        <v>46325</v>
      </c>
      <c r="J43" s="32"/>
      <c r="K43" s="34" t="n">
        <f aca="false">IF($B43="","",IFERROR(INDEX(Lists!$B$5:$B$7,MATCH($F43,Lists!$A$5:$A$7,0)),""))</f>
        <v>2</v>
      </c>
      <c r="L43" s="35" t="n">
        <f aca="false">IF(OR($B43="",$K43=""),"",WORKDAY($B43,$K43))</f>
        <v>46323</v>
      </c>
      <c r="M43" s="34" t="n">
        <f aca="false">IF(OR($B43="",$I43=""),"",IF($G43="Completed","",$I43-AsOf))</f>
        <v>4</v>
      </c>
      <c r="N43" s="34" t="str">
        <f aca="false">IF(OR($B43="",$J43=""),"",$J43-$B43)</f>
        <v/>
      </c>
      <c r="O43" s="34" t="n">
        <f aca="false">IF($B43="","",IF($G43="Completed","",AsOf-$B43))</f>
        <v>0</v>
      </c>
      <c r="P43" s="36" t="str">
        <f aca="false">IF($B43="","",IF($G43="Completed",IF(AND($J43&lt;&gt;"",$J43&gt;$I43),"Done (Late)","Done"),IF($I43="","No deadline",IF($I43&lt;AsOf,"OVERDUE",IF($I43-AsOf&lt;=Lists!$B$9,"Due Soon","On Track")))))</f>
        <v>On Track</v>
      </c>
      <c r="Q43" s="36" t="str">
        <f aca="false">IF(OR($B43="",$L43=""),"",IF($G43="Completed",IF($J43="","",IF($J43&lt;=$L43,"Met","Missed")),IF(AsOf&gt;$L43,"Breached","Within SLA")))</f>
        <v>Within SLA</v>
      </c>
      <c r="R43" s="34" t="n">
        <f aca="false">IF($B43="","",IF($G43="Completed",0,IFERROR(INDEX(Lists!$C$5:$C$7,MATCH($F43,Lists!$A$5:$A$7,0)),1)*IF($I43="",1,IF($I43&lt;AsOf,3,IF($I43-AsOf&lt;=Lists!$B$9,2,1)))))</f>
        <v>3</v>
      </c>
      <c r="S43" s="37" t="n">
        <f aca="false">IF($B43="","",$R43+(1000-ROW())/100000)</f>
        <v>3.00957</v>
      </c>
      <c r="T43" s="36" t="str">
        <f aca="false">IF($B43="","",IF(AND($G43="Completed",$J43=""),"Missing completion date",IF(AND($G43&lt;&gt;"Completed",$J43&lt;&gt;""),"Completion date on open request",IF(AND($I43&lt;&gt;"",$I43&lt;$B43),"Deadline before raised","OK"))))</f>
        <v>OK</v>
      </c>
    </row>
    <row r="44" customFormat="false" ht="15" hidden="false" customHeight="false" outlineLevel="0" collapsed="false">
      <c r="A44" s="31" t="s">
        <v>165</v>
      </c>
      <c r="B44" s="32" t="n">
        <v>46314</v>
      </c>
      <c r="C44" s="33" t="s">
        <v>77</v>
      </c>
      <c r="D44" s="33" t="s">
        <v>88</v>
      </c>
      <c r="E44" s="33" t="s">
        <v>166</v>
      </c>
      <c r="F44" s="31" t="s">
        <v>20</v>
      </c>
      <c r="G44" s="31" t="s">
        <v>15</v>
      </c>
      <c r="H44" s="33" t="s">
        <v>98</v>
      </c>
      <c r="I44" s="32" t="n">
        <v>46328</v>
      </c>
      <c r="J44" s="32"/>
      <c r="K44" s="34" t="n">
        <f aca="false">IF($B44="","",IFERROR(INDEX(Lists!$B$5:$B$7,MATCH($F44,Lists!$A$5:$A$7,0)),""))</f>
        <v>8</v>
      </c>
      <c r="L44" s="35" t="n">
        <f aca="false">IF(OR($B44="",$K44=""),"",WORKDAY($B44,$K44))</f>
        <v>46324</v>
      </c>
      <c r="M44" s="34" t="n">
        <f aca="false">IF(OR($B44="",$I44=""),"",IF($G44="Completed","",$I44-AsOf))</f>
        <v>7</v>
      </c>
      <c r="N44" s="34" t="str">
        <f aca="false">IF(OR($B44="",$J44=""),"",$J44-$B44)</f>
        <v/>
      </c>
      <c r="O44" s="34" t="n">
        <f aca="false">IF($B44="","",IF($G44="Completed","",AsOf-$B44))</f>
        <v>7</v>
      </c>
      <c r="P44" s="36" t="str">
        <f aca="false">IF($B44="","",IF($G44="Completed",IF(AND($J44&lt;&gt;"",$J44&gt;$I44),"Done (Late)","Done"),IF($I44="","No deadline",IF($I44&lt;AsOf,"OVERDUE",IF($I44-AsOf&lt;=Lists!$B$9,"Due Soon","On Track")))))</f>
        <v>On Track</v>
      </c>
      <c r="Q44" s="36" t="str">
        <f aca="false">IF(OR($B44="",$L44=""),"",IF($G44="Completed",IF($J44="","",IF($J44&lt;=$L44,"Met","Missed")),IF(AsOf&gt;$L44,"Breached","Within SLA")))</f>
        <v>Within SLA</v>
      </c>
      <c r="R44" s="34" t="n">
        <f aca="false">IF($B44="","",IF($G44="Completed",0,IFERROR(INDEX(Lists!$C$5:$C$7,MATCH($F44,Lists!$A$5:$A$7,0)),1)*IF($I44="",1,IF($I44&lt;AsOf,3,IF($I44-AsOf&lt;=Lists!$B$9,2,1)))))</f>
        <v>1</v>
      </c>
      <c r="S44" s="37" t="n">
        <f aca="false">IF($B44="","",$R44+(1000-ROW())/100000)</f>
        <v>1.00956</v>
      </c>
      <c r="T44" s="36" t="str">
        <f aca="false">IF($B44="","",IF(AND($G44="Completed",$J44=""),"Missing completion date",IF(AND($G44&lt;&gt;"Completed",$J44&lt;&gt;""),"Completion date on open request",IF(AND($I44&lt;&gt;"",$I44&lt;$B44),"Deadline before raised","OK"))))</f>
        <v>OK</v>
      </c>
    </row>
    <row r="45" customFormat="false" ht="15" hidden="false" customHeight="false" outlineLevel="0" collapsed="false">
      <c r="A45" s="31" t="s">
        <v>167</v>
      </c>
      <c r="B45" s="32" t="n">
        <v>46296</v>
      </c>
      <c r="C45" s="33" t="s">
        <v>67</v>
      </c>
      <c r="D45" s="33" t="s">
        <v>119</v>
      </c>
      <c r="E45" s="33" t="s">
        <v>168</v>
      </c>
      <c r="F45" s="31" t="s">
        <v>19</v>
      </c>
      <c r="G45" s="31" t="s">
        <v>16</v>
      </c>
      <c r="H45" s="33" t="s">
        <v>70</v>
      </c>
      <c r="I45" s="32" t="n">
        <v>46304</v>
      </c>
      <c r="J45" s="32" t="n">
        <v>46303</v>
      </c>
      <c r="K45" s="34" t="n">
        <f aca="false">IF($B45="","",IFERROR(INDEX(Lists!$B$5:$B$7,MATCH($F45,Lists!$A$5:$A$7,0)),""))</f>
        <v>5</v>
      </c>
      <c r="L45" s="35" t="n">
        <f aca="false">IF(OR($B45="",$K45=""),"",WORKDAY($B45,$K45))</f>
        <v>46303</v>
      </c>
      <c r="M45" s="34" t="str">
        <f aca="false">IF(OR($B45="",$I45=""),"",IF($G45="Completed","",$I45-AsOf))</f>
        <v/>
      </c>
      <c r="N45" s="34" t="n">
        <f aca="false">IF(OR($B45="",$J45=""),"",$J45-$B45)</f>
        <v>7</v>
      </c>
      <c r="O45" s="34" t="str">
        <f aca="false">IF($B45="","",IF($G45="Completed","",AsOf-$B45))</f>
        <v/>
      </c>
      <c r="P45" s="36" t="str">
        <f aca="false">IF($B45="","",IF($G45="Completed",IF(AND($J45&lt;&gt;"",$J45&gt;$I45),"Done (Late)","Done"),IF($I45="","No deadline",IF($I45&lt;AsOf,"OVERDUE",IF($I45-AsOf&lt;=Lists!$B$9,"Due Soon","On Track")))))</f>
        <v>Done</v>
      </c>
      <c r="Q45" s="36" t="str">
        <f aca="false">IF(OR($B45="",$L45=""),"",IF($G45="Completed",IF($J45="","",IF($J45&lt;=$L45,"Met","Missed")),IF(AsOf&gt;$L45,"Breached","Within SLA")))</f>
        <v>Met</v>
      </c>
      <c r="R45" s="34" t="n">
        <f aca="false">IF($B45="","",IF($G45="Completed",0,IFERROR(INDEX(Lists!$C$5:$C$7,MATCH($F45,Lists!$A$5:$A$7,0)),1)*IF($I45="",1,IF($I45&lt;AsOf,3,IF($I45-AsOf&lt;=Lists!$B$9,2,1)))))</f>
        <v>0</v>
      </c>
      <c r="S45" s="37" t="n">
        <f aca="false">IF($B45="","",$R45+(1000-ROW())/100000)</f>
        <v>0.00955</v>
      </c>
      <c r="T45" s="36" t="str">
        <f aca="false">IF($B45="","",IF(AND($G45="Completed",$J45=""),"Missing completion date",IF(AND($G45&lt;&gt;"Completed",$J45&lt;&gt;""),"Completion date on open request",IF(AND($I45&lt;&gt;"",$I45&lt;$B45),"Deadline before raised","OK"))))</f>
        <v>OK</v>
      </c>
    </row>
    <row r="46" customFormat="false" ht="15" hidden="false" customHeight="false" outlineLevel="0" collapsed="false">
      <c r="A46" s="31" t="s">
        <v>169</v>
      </c>
      <c r="B46" s="32"/>
      <c r="C46" s="33"/>
      <c r="D46" s="33"/>
      <c r="E46" s="33"/>
      <c r="F46" s="31"/>
      <c r="G46" s="31"/>
      <c r="H46" s="33"/>
      <c r="I46" s="32"/>
      <c r="J46" s="32"/>
      <c r="K46" s="34" t="str">
        <f aca="false">IF($B46="","",IFERROR(INDEX(Lists!$B$5:$B$7,MATCH($F46,Lists!$A$5:$A$7,0)),""))</f>
        <v/>
      </c>
      <c r="L46" s="35" t="str">
        <f aca="false">IF(OR($B46="",$K46=""),"",WORKDAY($B46,$K46))</f>
        <v/>
      </c>
      <c r="M46" s="34" t="str">
        <f aca="false">IF(OR($B46="",$I46=""),"",IF($G46="Completed","",$I46-AsOf))</f>
        <v/>
      </c>
      <c r="N46" s="34" t="str">
        <f aca="false">IF(OR($B46="",$J46=""),"",$J46-$B46)</f>
        <v/>
      </c>
      <c r="O46" s="34" t="str">
        <f aca="false">IF($B46="","",IF($G46="Completed","",AsOf-$B46))</f>
        <v/>
      </c>
      <c r="P46" s="36" t="str">
        <f aca="false">IF($B46="","",IF($G46="Completed",IF(AND($J46&lt;&gt;"",$J46&gt;$I46),"Done (Late)","Done"),IF($I46="","No deadline",IF($I46&lt;AsOf,"OVERDUE",IF($I46-AsOf&lt;=Lists!$B$9,"Due Soon","On Track")))))</f>
        <v/>
      </c>
      <c r="Q46" s="36" t="str">
        <f aca="false">IF(OR($B46="",$L46=""),"",IF($G46="Completed",IF($J46="","",IF($J46&lt;=$L46,"Met","Missed")),IF(AsOf&gt;$L46,"Breached","Within SLA")))</f>
        <v/>
      </c>
      <c r="R46" s="34" t="str">
        <f aca="false">IF($B46="","",IF($G46="Completed",0,IFERROR(INDEX(Lists!$C$5:$C$7,MATCH($F46,Lists!$A$5:$A$7,0)),1)*IF($I46="",1,IF($I46&lt;AsOf,3,IF($I46-AsOf&lt;=Lists!$B$9,2,1)))))</f>
        <v/>
      </c>
      <c r="S46" s="37" t="str">
        <f aca="false">IF($B46="","",$R46+(1000-ROW())/100000)</f>
        <v/>
      </c>
      <c r="T46" s="36" t="str">
        <f aca="false">IF($B46="","",IF(AND($G46="Completed",$J46=""),"Missing completion date",IF(AND($G46&lt;&gt;"Completed",$J46&lt;&gt;""),"Completion date on open request",IF(AND($I46&lt;&gt;"",$I46&lt;$B46),"Deadline before raised","OK"))))</f>
        <v/>
      </c>
    </row>
    <row r="47" customFormat="false" ht="15" hidden="false" customHeight="false" outlineLevel="0" collapsed="false">
      <c r="A47" s="31" t="s">
        <v>170</v>
      </c>
      <c r="B47" s="32"/>
      <c r="C47" s="33"/>
      <c r="D47" s="33"/>
      <c r="E47" s="33"/>
      <c r="F47" s="31"/>
      <c r="G47" s="31"/>
      <c r="H47" s="33"/>
      <c r="I47" s="32"/>
      <c r="J47" s="32"/>
      <c r="K47" s="34" t="str">
        <f aca="false">IF($B47="","",IFERROR(INDEX(Lists!$B$5:$B$7,MATCH($F47,Lists!$A$5:$A$7,0)),""))</f>
        <v/>
      </c>
      <c r="L47" s="35" t="str">
        <f aca="false">IF(OR($B47="",$K47=""),"",WORKDAY($B47,$K47))</f>
        <v/>
      </c>
      <c r="M47" s="34" t="str">
        <f aca="false">IF(OR($B47="",$I47=""),"",IF($G47="Completed","",$I47-AsOf))</f>
        <v/>
      </c>
      <c r="N47" s="34" t="str">
        <f aca="false">IF(OR($B47="",$J47=""),"",$J47-$B47)</f>
        <v/>
      </c>
      <c r="O47" s="34" t="str">
        <f aca="false">IF($B47="","",IF($G47="Completed","",AsOf-$B47))</f>
        <v/>
      </c>
      <c r="P47" s="36" t="str">
        <f aca="false">IF($B47="","",IF($G47="Completed",IF(AND($J47&lt;&gt;"",$J47&gt;$I47),"Done (Late)","Done"),IF($I47="","No deadline",IF($I47&lt;AsOf,"OVERDUE",IF($I47-AsOf&lt;=Lists!$B$9,"Due Soon","On Track")))))</f>
        <v/>
      </c>
      <c r="Q47" s="36" t="str">
        <f aca="false">IF(OR($B47="",$L47=""),"",IF($G47="Completed",IF($J47="","",IF($J47&lt;=$L47,"Met","Missed")),IF(AsOf&gt;$L47,"Breached","Within SLA")))</f>
        <v/>
      </c>
      <c r="R47" s="34" t="str">
        <f aca="false">IF($B47="","",IF($G47="Completed",0,IFERROR(INDEX(Lists!$C$5:$C$7,MATCH($F47,Lists!$A$5:$A$7,0)),1)*IF($I47="",1,IF($I47&lt;AsOf,3,IF($I47-AsOf&lt;=Lists!$B$9,2,1)))))</f>
        <v/>
      </c>
      <c r="S47" s="37" t="str">
        <f aca="false">IF($B47="","",$R47+(1000-ROW())/100000)</f>
        <v/>
      </c>
      <c r="T47" s="36" t="str">
        <f aca="false">IF($B47="","",IF(AND($G47="Completed",$J47=""),"Missing completion date",IF(AND($G47&lt;&gt;"Completed",$J47&lt;&gt;""),"Completion date on open request",IF(AND($I47&lt;&gt;"",$I47&lt;$B47),"Deadline before raised","OK"))))</f>
        <v/>
      </c>
    </row>
    <row r="48" customFormat="false" ht="15" hidden="false" customHeight="false" outlineLevel="0" collapsed="false">
      <c r="A48" s="31" t="s">
        <v>171</v>
      </c>
      <c r="B48" s="32"/>
      <c r="C48" s="33"/>
      <c r="D48" s="33"/>
      <c r="E48" s="33"/>
      <c r="F48" s="31"/>
      <c r="G48" s="31"/>
      <c r="H48" s="33"/>
      <c r="I48" s="32"/>
      <c r="J48" s="32"/>
      <c r="K48" s="34" t="str">
        <f aca="false">IF($B48="","",IFERROR(INDEX(Lists!$B$5:$B$7,MATCH($F48,Lists!$A$5:$A$7,0)),""))</f>
        <v/>
      </c>
      <c r="L48" s="35" t="str">
        <f aca="false">IF(OR($B48="",$K48=""),"",WORKDAY($B48,$K48))</f>
        <v/>
      </c>
      <c r="M48" s="34" t="str">
        <f aca="false">IF(OR($B48="",$I48=""),"",IF($G48="Completed","",$I48-AsOf))</f>
        <v/>
      </c>
      <c r="N48" s="34" t="str">
        <f aca="false">IF(OR($B48="",$J48=""),"",$J48-$B48)</f>
        <v/>
      </c>
      <c r="O48" s="34" t="str">
        <f aca="false">IF($B48="","",IF($G48="Completed","",AsOf-$B48))</f>
        <v/>
      </c>
      <c r="P48" s="36" t="str">
        <f aca="false">IF($B48="","",IF($G48="Completed",IF(AND($J48&lt;&gt;"",$J48&gt;$I48),"Done (Late)","Done"),IF($I48="","No deadline",IF($I48&lt;AsOf,"OVERDUE",IF($I48-AsOf&lt;=Lists!$B$9,"Due Soon","On Track")))))</f>
        <v/>
      </c>
      <c r="Q48" s="36" t="str">
        <f aca="false">IF(OR($B48="",$L48=""),"",IF($G48="Completed",IF($J48="","",IF($J48&lt;=$L48,"Met","Missed")),IF(AsOf&gt;$L48,"Breached","Within SLA")))</f>
        <v/>
      </c>
      <c r="R48" s="34" t="str">
        <f aca="false">IF($B48="","",IF($G48="Completed",0,IFERROR(INDEX(Lists!$C$5:$C$7,MATCH($F48,Lists!$A$5:$A$7,0)),1)*IF($I48="",1,IF($I48&lt;AsOf,3,IF($I48-AsOf&lt;=Lists!$B$9,2,1)))))</f>
        <v/>
      </c>
      <c r="S48" s="37" t="str">
        <f aca="false">IF($B48="","",$R48+(1000-ROW())/100000)</f>
        <v/>
      </c>
      <c r="T48" s="36" t="str">
        <f aca="false">IF($B48="","",IF(AND($G48="Completed",$J48=""),"Missing completion date",IF(AND($G48&lt;&gt;"Completed",$J48&lt;&gt;""),"Completion date on open request",IF(AND($I48&lt;&gt;"",$I48&lt;$B48),"Deadline before raised","OK"))))</f>
        <v/>
      </c>
    </row>
    <row r="49" customFormat="false" ht="15" hidden="false" customHeight="false" outlineLevel="0" collapsed="false">
      <c r="A49" s="31" t="s">
        <v>172</v>
      </c>
      <c r="B49" s="32"/>
      <c r="C49" s="33"/>
      <c r="D49" s="33"/>
      <c r="E49" s="33"/>
      <c r="F49" s="31"/>
      <c r="G49" s="31"/>
      <c r="H49" s="33"/>
      <c r="I49" s="32"/>
      <c r="J49" s="32"/>
      <c r="K49" s="34" t="str">
        <f aca="false">IF($B49="","",IFERROR(INDEX(Lists!$B$5:$B$7,MATCH($F49,Lists!$A$5:$A$7,0)),""))</f>
        <v/>
      </c>
      <c r="L49" s="35" t="str">
        <f aca="false">IF(OR($B49="",$K49=""),"",WORKDAY($B49,$K49))</f>
        <v/>
      </c>
      <c r="M49" s="34" t="str">
        <f aca="false">IF(OR($B49="",$I49=""),"",IF($G49="Completed","",$I49-AsOf))</f>
        <v/>
      </c>
      <c r="N49" s="34" t="str">
        <f aca="false">IF(OR($B49="",$J49=""),"",$J49-$B49)</f>
        <v/>
      </c>
      <c r="O49" s="34" t="str">
        <f aca="false">IF($B49="","",IF($G49="Completed","",AsOf-$B49))</f>
        <v/>
      </c>
      <c r="P49" s="36" t="str">
        <f aca="false">IF($B49="","",IF($G49="Completed",IF(AND($J49&lt;&gt;"",$J49&gt;$I49),"Done (Late)","Done"),IF($I49="","No deadline",IF($I49&lt;AsOf,"OVERDUE",IF($I49-AsOf&lt;=Lists!$B$9,"Due Soon","On Track")))))</f>
        <v/>
      </c>
      <c r="Q49" s="36" t="str">
        <f aca="false">IF(OR($B49="",$L49=""),"",IF($G49="Completed",IF($J49="","",IF($J49&lt;=$L49,"Met","Missed")),IF(AsOf&gt;$L49,"Breached","Within SLA")))</f>
        <v/>
      </c>
      <c r="R49" s="34" t="str">
        <f aca="false">IF($B49="","",IF($G49="Completed",0,IFERROR(INDEX(Lists!$C$5:$C$7,MATCH($F49,Lists!$A$5:$A$7,0)),1)*IF($I49="",1,IF($I49&lt;AsOf,3,IF($I49-AsOf&lt;=Lists!$B$9,2,1)))))</f>
        <v/>
      </c>
      <c r="S49" s="37" t="str">
        <f aca="false">IF($B49="","",$R49+(1000-ROW())/100000)</f>
        <v/>
      </c>
      <c r="T49" s="36" t="str">
        <f aca="false">IF($B49="","",IF(AND($G49="Completed",$J49=""),"Missing completion date",IF(AND($G49&lt;&gt;"Completed",$J49&lt;&gt;""),"Completion date on open request",IF(AND($I49&lt;&gt;"",$I49&lt;$B49),"Deadline before raised","OK"))))</f>
        <v/>
      </c>
    </row>
    <row r="50" customFormat="false" ht="15" hidden="false" customHeight="false" outlineLevel="0" collapsed="false">
      <c r="A50" s="31" t="s">
        <v>173</v>
      </c>
      <c r="B50" s="32"/>
      <c r="C50" s="33"/>
      <c r="D50" s="33"/>
      <c r="E50" s="33"/>
      <c r="F50" s="31"/>
      <c r="G50" s="31"/>
      <c r="H50" s="33"/>
      <c r="I50" s="32"/>
      <c r="J50" s="32"/>
      <c r="K50" s="34" t="str">
        <f aca="false">IF($B50="","",IFERROR(INDEX(Lists!$B$5:$B$7,MATCH($F50,Lists!$A$5:$A$7,0)),""))</f>
        <v/>
      </c>
      <c r="L50" s="35" t="str">
        <f aca="false">IF(OR($B50="",$K50=""),"",WORKDAY($B50,$K50))</f>
        <v/>
      </c>
      <c r="M50" s="34" t="str">
        <f aca="false">IF(OR($B50="",$I50=""),"",IF($G50="Completed","",$I50-AsOf))</f>
        <v/>
      </c>
      <c r="N50" s="34" t="str">
        <f aca="false">IF(OR($B50="",$J50=""),"",$J50-$B50)</f>
        <v/>
      </c>
      <c r="O50" s="34" t="str">
        <f aca="false">IF($B50="","",IF($G50="Completed","",AsOf-$B50))</f>
        <v/>
      </c>
      <c r="P50" s="36" t="str">
        <f aca="false">IF($B50="","",IF($G50="Completed",IF(AND($J50&lt;&gt;"",$J50&gt;$I50),"Done (Late)","Done"),IF($I50="","No deadline",IF($I50&lt;AsOf,"OVERDUE",IF($I50-AsOf&lt;=Lists!$B$9,"Due Soon","On Track")))))</f>
        <v/>
      </c>
      <c r="Q50" s="36" t="str">
        <f aca="false">IF(OR($B50="",$L50=""),"",IF($G50="Completed",IF($J50="","",IF($J50&lt;=$L50,"Met","Missed")),IF(AsOf&gt;$L50,"Breached","Within SLA")))</f>
        <v/>
      </c>
      <c r="R50" s="34" t="str">
        <f aca="false">IF($B50="","",IF($G50="Completed",0,IFERROR(INDEX(Lists!$C$5:$C$7,MATCH($F50,Lists!$A$5:$A$7,0)),1)*IF($I50="",1,IF($I50&lt;AsOf,3,IF($I50-AsOf&lt;=Lists!$B$9,2,1)))))</f>
        <v/>
      </c>
      <c r="S50" s="37" t="str">
        <f aca="false">IF($B50="","",$R50+(1000-ROW())/100000)</f>
        <v/>
      </c>
      <c r="T50" s="36" t="str">
        <f aca="false">IF($B50="","",IF(AND($G50="Completed",$J50=""),"Missing completion date",IF(AND($G50&lt;&gt;"Completed",$J50&lt;&gt;""),"Completion date on open request",IF(AND($I50&lt;&gt;"",$I50&lt;$B50),"Deadline before raised","OK"))))</f>
        <v/>
      </c>
    </row>
    <row r="51" customFormat="false" ht="15" hidden="false" customHeight="false" outlineLevel="0" collapsed="false">
      <c r="A51" s="31" t="s">
        <v>174</v>
      </c>
      <c r="B51" s="32"/>
      <c r="C51" s="33"/>
      <c r="D51" s="33"/>
      <c r="E51" s="33"/>
      <c r="F51" s="31"/>
      <c r="G51" s="31"/>
      <c r="H51" s="33"/>
      <c r="I51" s="32"/>
      <c r="J51" s="32"/>
      <c r="K51" s="34" t="str">
        <f aca="false">IF($B51="","",IFERROR(INDEX(Lists!$B$5:$B$7,MATCH($F51,Lists!$A$5:$A$7,0)),""))</f>
        <v/>
      </c>
      <c r="L51" s="35" t="str">
        <f aca="false">IF(OR($B51="",$K51=""),"",WORKDAY($B51,$K51))</f>
        <v/>
      </c>
      <c r="M51" s="34" t="str">
        <f aca="false">IF(OR($B51="",$I51=""),"",IF($G51="Completed","",$I51-AsOf))</f>
        <v/>
      </c>
      <c r="N51" s="34" t="str">
        <f aca="false">IF(OR($B51="",$J51=""),"",$J51-$B51)</f>
        <v/>
      </c>
      <c r="O51" s="34" t="str">
        <f aca="false">IF($B51="","",IF($G51="Completed","",AsOf-$B51))</f>
        <v/>
      </c>
      <c r="P51" s="36" t="str">
        <f aca="false">IF($B51="","",IF($G51="Completed",IF(AND($J51&lt;&gt;"",$J51&gt;$I51),"Done (Late)","Done"),IF($I51="","No deadline",IF($I51&lt;AsOf,"OVERDUE",IF($I51-AsOf&lt;=Lists!$B$9,"Due Soon","On Track")))))</f>
        <v/>
      </c>
      <c r="Q51" s="36" t="str">
        <f aca="false">IF(OR($B51="",$L51=""),"",IF($G51="Completed",IF($J51="","",IF($J51&lt;=$L51,"Met","Missed")),IF(AsOf&gt;$L51,"Breached","Within SLA")))</f>
        <v/>
      </c>
      <c r="R51" s="34" t="str">
        <f aca="false">IF($B51="","",IF($G51="Completed",0,IFERROR(INDEX(Lists!$C$5:$C$7,MATCH($F51,Lists!$A$5:$A$7,0)),1)*IF($I51="",1,IF($I51&lt;AsOf,3,IF($I51-AsOf&lt;=Lists!$B$9,2,1)))))</f>
        <v/>
      </c>
      <c r="S51" s="37" t="str">
        <f aca="false">IF($B51="","",$R51+(1000-ROW())/100000)</f>
        <v/>
      </c>
      <c r="T51" s="36" t="str">
        <f aca="false">IF($B51="","",IF(AND($G51="Completed",$J51=""),"Missing completion date",IF(AND($G51&lt;&gt;"Completed",$J51&lt;&gt;""),"Completion date on open request",IF(AND($I51&lt;&gt;"",$I51&lt;$B51),"Deadline before raised","OK"))))</f>
        <v/>
      </c>
    </row>
    <row r="52" customFormat="false" ht="15" hidden="false" customHeight="false" outlineLevel="0" collapsed="false">
      <c r="A52" s="31" t="s">
        <v>175</v>
      </c>
      <c r="B52" s="32"/>
      <c r="C52" s="33"/>
      <c r="D52" s="33"/>
      <c r="E52" s="33"/>
      <c r="F52" s="31"/>
      <c r="G52" s="31"/>
      <c r="H52" s="33"/>
      <c r="I52" s="32"/>
      <c r="J52" s="32"/>
      <c r="K52" s="34" t="str">
        <f aca="false">IF($B52="","",IFERROR(INDEX(Lists!$B$5:$B$7,MATCH($F52,Lists!$A$5:$A$7,0)),""))</f>
        <v/>
      </c>
      <c r="L52" s="35" t="str">
        <f aca="false">IF(OR($B52="",$K52=""),"",WORKDAY($B52,$K52))</f>
        <v/>
      </c>
      <c r="M52" s="34" t="str">
        <f aca="false">IF(OR($B52="",$I52=""),"",IF($G52="Completed","",$I52-AsOf))</f>
        <v/>
      </c>
      <c r="N52" s="34" t="str">
        <f aca="false">IF(OR($B52="",$J52=""),"",$J52-$B52)</f>
        <v/>
      </c>
      <c r="O52" s="34" t="str">
        <f aca="false">IF($B52="","",IF($G52="Completed","",AsOf-$B52))</f>
        <v/>
      </c>
      <c r="P52" s="36" t="str">
        <f aca="false">IF($B52="","",IF($G52="Completed",IF(AND($J52&lt;&gt;"",$J52&gt;$I52),"Done (Late)","Done"),IF($I52="","No deadline",IF($I52&lt;AsOf,"OVERDUE",IF($I52-AsOf&lt;=Lists!$B$9,"Due Soon","On Track")))))</f>
        <v/>
      </c>
      <c r="Q52" s="36" t="str">
        <f aca="false">IF(OR($B52="",$L52=""),"",IF($G52="Completed",IF($J52="","",IF($J52&lt;=$L52,"Met","Missed")),IF(AsOf&gt;$L52,"Breached","Within SLA")))</f>
        <v/>
      </c>
      <c r="R52" s="34" t="str">
        <f aca="false">IF($B52="","",IF($G52="Completed",0,IFERROR(INDEX(Lists!$C$5:$C$7,MATCH($F52,Lists!$A$5:$A$7,0)),1)*IF($I52="",1,IF($I52&lt;AsOf,3,IF($I52-AsOf&lt;=Lists!$B$9,2,1)))))</f>
        <v/>
      </c>
      <c r="S52" s="37" t="str">
        <f aca="false">IF($B52="","",$R52+(1000-ROW())/100000)</f>
        <v/>
      </c>
      <c r="T52" s="36" t="str">
        <f aca="false">IF($B52="","",IF(AND($G52="Completed",$J52=""),"Missing completion date",IF(AND($G52&lt;&gt;"Completed",$J52&lt;&gt;""),"Completion date on open request",IF(AND($I52&lt;&gt;"",$I52&lt;$B52),"Deadline before raised","OK"))))</f>
        <v/>
      </c>
    </row>
    <row r="53" customFormat="false" ht="15" hidden="false" customHeight="false" outlineLevel="0" collapsed="false">
      <c r="A53" s="31" t="s">
        <v>176</v>
      </c>
      <c r="B53" s="32"/>
      <c r="C53" s="33"/>
      <c r="D53" s="33"/>
      <c r="E53" s="33"/>
      <c r="F53" s="31"/>
      <c r="G53" s="31"/>
      <c r="H53" s="33"/>
      <c r="I53" s="32"/>
      <c r="J53" s="32"/>
      <c r="K53" s="34" t="str">
        <f aca="false">IF($B53="","",IFERROR(INDEX(Lists!$B$5:$B$7,MATCH($F53,Lists!$A$5:$A$7,0)),""))</f>
        <v/>
      </c>
      <c r="L53" s="35" t="str">
        <f aca="false">IF(OR($B53="",$K53=""),"",WORKDAY($B53,$K53))</f>
        <v/>
      </c>
      <c r="M53" s="34" t="str">
        <f aca="false">IF(OR($B53="",$I53=""),"",IF($G53="Completed","",$I53-AsOf))</f>
        <v/>
      </c>
      <c r="N53" s="34" t="str">
        <f aca="false">IF(OR($B53="",$J53=""),"",$J53-$B53)</f>
        <v/>
      </c>
      <c r="O53" s="34" t="str">
        <f aca="false">IF($B53="","",IF($G53="Completed","",AsOf-$B53))</f>
        <v/>
      </c>
      <c r="P53" s="36" t="str">
        <f aca="false">IF($B53="","",IF($G53="Completed",IF(AND($J53&lt;&gt;"",$J53&gt;$I53),"Done (Late)","Done"),IF($I53="","No deadline",IF($I53&lt;AsOf,"OVERDUE",IF($I53-AsOf&lt;=Lists!$B$9,"Due Soon","On Track")))))</f>
        <v/>
      </c>
      <c r="Q53" s="36" t="str">
        <f aca="false">IF(OR($B53="",$L53=""),"",IF($G53="Completed",IF($J53="","",IF($J53&lt;=$L53,"Met","Missed")),IF(AsOf&gt;$L53,"Breached","Within SLA")))</f>
        <v/>
      </c>
      <c r="R53" s="34" t="str">
        <f aca="false">IF($B53="","",IF($G53="Completed",0,IFERROR(INDEX(Lists!$C$5:$C$7,MATCH($F53,Lists!$A$5:$A$7,0)),1)*IF($I53="",1,IF($I53&lt;AsOf,3,IF($I53-AsOf&lt;=Lists!$B$9,2,1)))))</f>
        <v/>
      </c>
      <c r="S53" s="37" t="str">
        <f aca="false">IF($B53="","",$R53+(1000-ROW())/100000)</f>
        <v/>
      </c>
      <c r="T53" s="36" t="str">
        <f aca="false">IF($B53="","",IF(AND($G53="Completed",$J53=""),"Missing completion date",IF(AND($G53&lt;&gt;"Completed",$J53&lt;&gt;""),"Completion date on open request",IF(AND($I53&lt;&gt;"",$I53&lt;$B53),"Deadline before raised","OK"))))</f>
        <v/>
      </c>
    </row>
    <row r="54" customFormat="false" ht="15" hidden="false" customHeight="false" outlineLevel="0" collapsed="false">
      <c r="A54" s="31" t="s">
        <v>177</v>
      </c>
      <c r="B54" s="32"/>
      <c r="C54" s="33"/>
      <c r="D54" s="33"/>
      <c r="E54" s="33"/>
      <c r="F54" s="31"/>
      <c r="G54" s="31"/>
      <c r="H54" s="33"/>
      <c r="I54" s="32"/>
      <c r="J54" s="32"/>
      <c r="K54" s="34" t="str">
        <f aca="false">IF($B54="","",IFERROR(INDEX(Lists!$B$5:$B$7,MATCH($F54,Lists!$A$5:$A$7,0)),""))</f>
        <v/>
      </c>
      <c r="L54" s="35" t="str">
        <f aca="false">IF(OR($B54="",$K54=""),"",WORKDAY($B54,$K54))</f>
        <v/>
      </c>
      <c r="M54" s="34" t="str">
        <f aca="false">IF(OR($B54="",$I54=""),"",IF($G54="Completed","",$I54-AsOf))</f>
        <v/>
      </c>
      <c r="N54" s="34" t="str">
        <f aca="false">IF(OR($B54="",$J54=""),"",$J54-$B54)</f>
        <v/>
      </c>
      <c r="O54" s="34" t="str">
        <f aca="false">IF($B54="","",IF($G54="Completed","",AsOf-$B54))</f>
        <v/>
      </c>
      <c r="P54" s="36" t="str">
        <f aca="false">IF($B54="","",IF($G54="Completed",IF(AND($J54&lt;&gt;"",$J54&gt;$I54),"Done (Late)","Done"),IF($I54="","No deadline",IF($I54&lt;AsOf,"OVERDUE",IF($I54-AsOf&lt;=Lists!$B$9,"Due Soon","On Track")))))</f>
        <v/>
      </c>
      <c r="Q54" s="36" t="str">
        <f aca="false">IF(OR($B54="",$L54=""),"",IF($G54="Completed",IF($J54="","",IF($J54&lt;=$L54,"Met","Missed")),IF(AsOf&gt;$L54,"Breached","Within SLA")))</f>
        <v/>
      </c>
      <c r="R54" s="34" t="str">
        <f aca="false">IF($B54="","",IF($G54="Completed",0,IFERROR(INDEX(Lists!$C$5:$C$7,MATCH($F54,Lists!$A$5:$A$7,0)),1)*IF($I54="",1,IF($I54&lt;AsOf,3,IF($I54-AsOf&lt;=Lists!$B$9,2,1)))))</f>
        <v/>
      </c>
      <c r="S54" s="37" t="str">
        <f aca="false">IF($B54="","",$R54+(1000-ROW())/100000)</f>
        <v/>
      </c>
      <c r="T54" s="36" t="str">
        <f aca="false">IF($B54="","",IF(AND($G54="Completed",$J54=""),"Missing completion date",IF(AND($G54&lt;&gt;"Completed",$J54&lt;&gt;""),"Completion date on open request",IF(AND($I54&lt;&gt;"",$I54&lt;$B54),"Deadline before raised","OK"))))</f>
        <v/>
      </c>
    </row>
    <row r="55" customFormat="false" ht="15" hidden="false" customHeight="false" outlineLevel="0" collapsed="false">
      <c r="A55" s="31" t="s">
        <v>178</v>
      </c>
      <c r="B55" s="32"/>
      <c r="C55" s="33"/>
      <c r="D55" s="33"/>
      <c r="E55" s="33"/>
      <c r="F55" s="31"/>
      <c r="G55" s="31"/>
      <c r="H55" s="33"/>
      <c r="I55" s="32"/>
      <c r="J55" s="32"/>
      <c r="K55" s="34" t="str">
        <f aca="false">IF($B55="","",IFERROR(INDEX(Lists!$B$5:$B$7,MATCH($F55,Lists!$A$5:$A$7,0)),""))</f>
        <v/>
      </c>
      <c r="L55" s="35" t="str">
        <f aca="false">IF(OR($B55="",$K55=""),"",WORKDAY($B55,$K55))</f>
        <v/>
      </c>
      <c r="M55" s="34" t="str">
        <f aca="false">IF(OR($B55="",$I55=""),"",IF($G55="Completed","",$I55-AsOf))</f>
        <v/>
      </c>
      <c r="N55" s="34" t="str">
        <f aca="false">IF(OR($B55="",$J55=""),"",$J55-$B55)</f>
        <v/>
      </c>
      <c r="O55" s="34" t="str">
        <f aca="false">IF($B55="","",IF($G55="Completed","",AsOf-$B55))</f>
        <v/>
      </c>
      <c r="P55" s="36" t="str">
        <f aca="false">IF($B55="","",IF($G55="Completed",IF(AND($J55&lt;&gt;"",$J55&gt;$I55),"Done (Late)","Done"),IF($I55="","No deadline",IF($I55&lt;AsOf,"OVERDUE",IF($I55-AsOf&lt;=Lists!$B$9,"Due Soon","On Track")))))</f>
        <v/>
      </c>
      <c r="Q55" s="36" t="str">
        <f aca="false">IF(OR($B55="",$L55=""),"",IF($G55="Completed",IF($J55="","",IF($J55&lt;=$L55,"Met","Missed")),IF(AsOf&gt;$L55,"Breached","Within SLA")))</f>
        <v/>
      </c>
      <c r="R55" s="34" t="str">
        <f aca="false">IF($B55="","",IF($G55="Completed",0,IFERROR(INDEX(Lists!$C$5:$C$7,MATCH($F55,Lists!$A$5:$A$7,0)),1)*IF($I55="",1,IF($I55&lt;AsOf,3,IF($I55-AsOf&lt;=Lists!$B$9,2,1)))))</f>
        <v/>
      </c>
      <c r="S55" s="37" t="str">
        <f aca="false">IF($B55="","",$R55+(1000-ROW())/100000)</f>
        <v/>
      </c>
      <c r="T55" s="36" t="str">
        <f aca="false">IF($B55="","",IF(AND($G55="Completed",$J55=""),"Missing completion date",IF(AND($G55&lt;&gt;"Completed",$J55&lt;&gt;""),"Completion date on open request",IF(AND($I55&lt;&gt;"",$I55&lt;$B55),"Deadline before raised","OK"))))</f>
        <v/>
      </c>
    </row>
    <row r="56" customFormat="false" ht="15" hidden="false" customHeight="false" outlineLevel="0" collapsed="false">
      <c r="A56" s="31" t="s">
        <v>179</v>
      </c>
      <c r="B56" s="32"/>
      <c r="C56" s="33"/>
      <c r="D56" s="33"/>
      <c r="E56" s="33"/>
      <c r="F56" s="31"/>
      <c r="G56" s="31"/>
      <c r="H56" s="33"/>
      <c r="I56" s="32"/>
      <c r="J56" s="32"/>
      <c r="K56" s="34" t="str">
        <f aca="false">IF($B56="","",IFERROR(INDEX(Lists!$B$5:$B$7,MATCH($F56,Lists!$A$5:$A$7,0)),""))</f>
        <v/>
      </c>
      <c r="L56" s="35" t="str">
        <f aca="false">IF(OR($B56="",$K56=""),"",WORKDAY($B56,$K56))</f>
        <v/>
      </c>
      <c r="M56" s="34" t="str">
        <f aca="false">IF(OR($B56="",$I56=""),"",IF($G56="Completed","",$I56-AsOf))</f>
        <v/>
      </c>
      <c r="N56" s="34" t="str">
        <f aca="false">IF(OR($B56="",$J56=""),"",$J56-$B56)</f>
        <v/>
      </c>
      <c r="O56" s="34" t="str">
        <f aca="false">IF($B56="","",IF($G56="Completed","",AsOf-$B56))</f>
        <v/>
      </c>
      <c r="P56" s="36" t="str">
        <f aca="false">IF($B56="","",IF($G56="Completed",IF(AND($J56&lt;&gt;"",$J56&gt;$I56),"Done (Late)","Done"),IF($I56="","No deadline",IF($I56&lt;AsOf,"OVERDUE",IF($I56-AsOf&lt;=Lists!$B$9,"Due Soon","On Track")))))</f>
        <v/>
      </c>
      <c r="Q56" s="36" t="str">
        <f aca="false">IF(OR($B56="",$L56=""),"",IF($G56="Completed",IF($J56="","",IF($J56&lt;=$L56,"Met","Missed")),IF(AsOf&gt;$L56,"Breached","Within SLA")))</f>
        <v/>
      </c>
      <c r="R56" s="34" t="str">
        <f aca="false">IF($B56="","",IF($G56="Completed",0,IFERROR(INDEX(Lists!$C$5:$C$7,MATCH($F56,Lists!$A$5:$A$7,0)),1)*IF($I56="",1,IF($I56&lt;AsOf,3,IF($I56-AsOf&lt;=Lists!$B$9,2,1)))))</f>
        <v/>
      </c>
      <c r="S56" s="37" t="str">
        <f aca="false">IF($B56="","",$R56+(1000-ROW())/100000)</f>
        <v/>
      </c>
      <c r="T56" s="36" t="str">
        <f aca="false">IF($B56="","",IF(AND($G56="Completed",$J56=""),"Missing completion date",IF(AND($G56&lt;&gt;"Completed",$J56&lt;&gt;""),"Completion date on open request",IF(AND($I56&lt;&gt;"",$I56&lt;$B56),"Deadline before raised","OK"))))</f>
        <v/>
      </c>
    </row>
    <row r="57" customFormat="false" ht="15" hidden="false" customHeight="false" outlineLevel="0" collapsed="false">
      <c r="A57" s="31" t="s">
        <v>180</v>
      </c>
      <c r="B57" s="32"/>
      <c r="C57" s="33"/>
      <c r="D57" s="33"/>
      <c r="E57" s="33"/>
      <c r="F57" s="31"/>
      <c r="G57" s="31"/>
      <c r="H57" s="33"/>
      <c r="I57" s="32"/>
      <c r="J57" s="32"/>
      <c r="K57" s="34" t="str">
        <f aca="false">IF($B57="","",IFERROR(INDEX(Lists!$B$5:$B$7,MATCH($F57,Lists!$A$5:$A$7,0)),""))</f>
        <v/>
      </c>
      <c r="L57" s="35" t="str">
        <f aca="false">IF(OR($B57="",$K57=""),"",WORKDAY($B57,$K57))</f>
        <v/>
      </c>
      <c r="M57" s="34" t="str">
        <f aca="false">IF(OR($B57="",$I57=""),"",IF($G57="Completed","",$I57-AsOf))</f>
        <v/>
      </c>
      <c r="N57" s="34" t="str">
        <f aca="false">IF(OR($B57="",$J57=""),"",$J57-$B57)</f>
        <v/>
      </c>
      <c r="O57" s="34" t="str">
        <f aca="false">IF($B57="","",IF($G57="Completed","",AsOf-$B57))</f>
        <v/>
      </c>
      <c r="P57" s="36" t="str">
        <f aca="false">IF($B57="","",IF($G57="Completed",IF(AND($J57&lt;&gt;"",$J57&gt;$I57),"Done (Late)","Done"),IF($I57="","No deadline",IF($I57&lt;AsOf,"OVERDUE",IF($I57-AsOf&lt;=Lists!$B$9,"Due Soon","On Track")))))</f>
        <v/>
      </c>
      <c r="Q57" s="36" t="str">
        <f aca="false">IF(OR($B57="",$L57=""),"",IF($G57="Completed",IF($J57="","",IF($J57&lt;=$L57,"Met","Missed")),IF(AsOf&gt;$L57,"Breached","Within SLA")))</f>
        <v/>
      </c>
      <c r="R57" s="34" t="str">
        <f aca="false">IF($B57="","",IF($G57="Completed",0,IFERROR(INDEX(Lists!$C$5:$C$7,MATCH($F57,Lists!$A$5:$A$7,0)),1)*IF($I57="",1,IF($I57&lt;AsOf,3,IF($I57-AsOf&lt;=Lists!$B$9,2,1)))))</f>
        <v/>
      </c>
      <c r="S57" s="37" t="str">
        <f aca="false">IF($B57="","",$R57+(1000-ROW())/100000)</f>
        <v/>
      </c>
      <c r="T57" s="36" t="str">
        <f aca="false">IF($B57="","",IF(AND($G57="Completed",$J57=""),"Missing completion date",IF(AND($G57&lt;&gt;"Completed",$J57&lt;&gt;""),"Completion date on open request",IF(AND($I57&lt;&gt;"",$I57&lt;$B57),"Deadline before raised","OK"))))</f>
        <v/>
      </c>
    </row>
    <row r="58" customFormat="false" ht="15" hidden="false" customHeight="false" outlineLevel="0" collapsed="false">
      <c r="A58" s="31" t="s">
        <v>181</v>
      </c>
      <c r="B58" s="32"/>
      <c r="C58" s="33"/>
      <c r="D58" s="33"/>
      <c r="E58" s="33"/>
      <c r="F58" s="31"/>
      <c r="G58" s="31"/>
      <c r="H58" s="33"/>
      <c r="I58" s="32"/>
      <c r="J58" s="32"/>
      <c r="K58" s="34" t="str">
        <f aca="false">IF($B58="","",IFERROR(INDEX(Lists!$B$5:$B$7,MATCH($F58,Lists!$A$5:$A$7,0)),""))</f>
        <v/>
      </c>
      <c r="L58" s="35" t="str">
        <f aca="false">IF(OR($B58="",$K58=""),"",WORKDAY($B58,$K58))</f>
        <v/>
      </c>
      <c r="M58" s="34" t="str">
        <f aca="false">IF(OR($B58="",$I58=""),"",IF($G58="Completed","",$I58-AsOf))</f>
        <v/>
      </c>
      <c r="N58" s="34" t="str">
        <f aca="false">IF(OR($B58="",$J58=""),"",$J58-$B58)</f>
        <v/>
      </c>
      <c r="O58" s="34" t="str">
        <f aca="false">IF($B58="","",IF($G58="Completed","",AsOf-$B58))</f>
        <v/>
      </c>
      <c r="P58" s="36" t="str">
        <f aca="false">IF($B58="","",IF($G58="Completed",IF(AND($J58&lt;&gt;"",$J58&gt;$I58),"Done (Late)","Done"),IF($I58="","No deadline",IF($I58&lt;AsOf,"OVERDUE",IF($I58-AsOf&lt;=Lists!$B$9,"Due Soon","On Track")))))</f>
        <v/>
      </c>
      <c r="Q58" s="36" t="str">
        <f aca="false">IF(OR($B58="",$L58=""),"",IF($G58="Completed",IF($J58="","",IF($J58&lt;=$L58,"Met","Missed")),IF(AsOf&gt;$L58,"Breached","Within SLA")))</f>
        <v/>
      </c>
      <c r="R58" s="34" t="str">
        <f aca="false">IF($B58="","",IF($G58="Completed",0,IFERROR(INDEX(Lists!$C$5:$C$7,MATCH($F58,Lists!$A$5:$A$7,0)),1)*IF($I58="",1,IF($I58&lt;AsOf,3,IF($I58-AsOf&lt;=Lists!$B$9,2,1)))))</f>
        <v/>
      </c>
      <c r="S58" s="37" t="str">
        <f aca="false">IF($B58="","",$R58+(1000-ROW())/100000)</f>
        <v/>
      </c>
      <c r="T58" s="36" t="str">
        <f aca="false">IF($B58="","",IF(AND($G58="Completed",$J58=""),"Missing completion date",IF(AND($G58&lt;&gt;"Completed",$J58&lt;&gt;""),"Completion date on open request",IF(AND($I58&lt;&gt;"",$I58&lt;$B58),"Deadline before raised","OK"))))</f>
        <v/>
      </c>
    </row>
    <row r="59" customFormat="false" ht="15" hidden="false" customHeight="false" outlineLevel="0" collapsed="false">
      <c r="A59" s="31" t="s">
        <v>182</v>
      </c>
      <c r="B59" s="32"/>
      <c r="C59" s="33"/>
      <c r="D59" s="33"/>
      <c r="E59" s="33"/>
      <c r="F59" s="31"/>
      <c r="G59" s="31"/>
      <c r="H59" s="33"/>
      <c r="I59" s="32"/>
      <c r="J59" s="32"/>
      <c r="K59" s="34" t="str">
        <f aca="false">IF($B59="","",IFERROR(INDEX(Lists!$B$5:$B$7,MATCH($F59,Lists!$A$5:$A$7,0)),""))</f>
        <v/>
      </c>
      <c r="L59" s="35" t="str">
        <f aca="false">IF(OR($B59="",$K59=""),"",WORKDAY($B59,$K59))</f>
        <v/>
      </c>
      <c r="M59" s="34" t="str">
        <f aca="false">IF(OR($B59="",$I59=""),"",IF($G59="Completed","",$I59-AsOf))</f>
        <v/>
      </c>
      <c r="N59" s="34" t="str">
        <f aca="false">IF(OR($B59="",$J59=""),"",$J59-$B59)</f>
        <v/>
      </c>
      <c r="O59" s="34" t="str">
        <f aca="false">IF($B59="","",IF($G59="Completed","",AsOf-$B59))</f>
        <v/>
      </c>
      <c r="P59" s="36" t="str">
        <f aca="false">IF($B59="","",IF($G59="Completed",IF(AND($J59&lt;&gt;"",$J59&gt;$I59),"Done (Late)","Done"),IF($I59="","No deadline",IF($I59&lt;AsOf,"OVERDUE",IF($I59-AsOf&lt;=Lists!$B$9,"Due Soon","On Track")))))</f>
        <v/>
      </c>
      <c r="Q59" s="36" t="str">
        <f aca="false">IF(OR($B59="",$L59=""),"",IF($G59="Completed",IF($J59="","",IF($J59&lt;=$L59,"Met","Missed")),IF(AsOf&gt;$L59,"Breached","Within SLA")))</f>
        <v/>
      </c>
      <c r="R59" s="34" t="str">
        <f aca="false">IF($B59="","",IF($G59="Completed",0,IFERROR(INDEX(Lists!$C$5:$C$7,MATCH($F59,Lists!$A$5:$A$7,0)),1)*IF($I59="",1,IF($I59&lt;AsOf,3,IF($I59-AsOf&lt;=Lists!$B$9,2,1)))))</f>
        <v/>
      </c>
      <c r="S59" s="37" t="str">
        <f aca="false">IF($B59="","",$R59+(1000-ROW())/100000)</f>
        <v/>
      </c>
      <c r="T59" s="36" t="str">
        <f aca="false">IF($B59="","",IF(AND($G59="Completed",$J59=""),"Missing completion date",IF(AND($G59&lt;&gt;"Completed",$J59&lt;&gt;""),"Completion date on open request",IF(AND($I59&lt;&gt;"",$I59&lt;$B59),"Deadline before raised","OK"))))</f>
        <v/>
      </c>
    </row>
    <row r="60" customFormat="false" ht="15" hidden="false" customHeight="false" outlineLevel="0" collapsed="false">
      <c r="A60" s="31" t="s">
        <v>183</v>
      </c>
      <c r="B60" s="32"/>
      <c r="C60" s="33"/>
      <c r="D60" s="33"/>
      <c r="E60" s="33"/>
      <c r="F60" s="31"/>
      <c r="G60" s="31"/>
      <c r="H60" s="33"/>
      <c r="I60" s="32"/>
      <c r="J60" s="32"/>
      <c r="K60" s="34" t="str">
        <f aca="false">IF($B60="","",IFERROR(INDEX(Lists!$B$5:$B$7,MATCH($F60,Lists!$A$5:$A$7,0)),""))</f>
        <v/>
      </c>
      <c r="L60" s="35" t="str">
        <f aca="false">IF(OR($B60="",$K60=""),"",WORKDAY($B60,$K60))</f>
        <v/>
      </c>
      <c r="M60" s="34" t="str">
        <f aca="false">IF(OR($B60="",$I60=""),"",IF($G60="Completed","",$I60-AsOf))</f>
        <v/>
      </c>
      <c r="N60" s="34" t="str">
        <f aca="false">IF(OR($B60="",$J60=""),"",$J60-$B60)</f>
        <v/>
      </c>
      <c r="O60" s="34" t="str">
        <f aca="false">IF($B60="","",IF($G60="Completed","",AsOf-$B60))</f>
        <v/>
      </c>
      <c r="P60" s="36" t="str">
        <f aca="false">IF($B60="","",IF($G60="Completed",IF(AND($J60&lt;&gt;"",$J60&gt;$I60),"Done (Late)","Done"),IF($I60="","No deadline",IF($I60&lt;AsOf,"OVERDUE",IF($I60-AsOf&lt;=Lists!$B$9,"Due Soon","On Track")))))</f>
        <v/>
      </c>
      <c r="Q60" s="36" t="str">
        <f aca="false">IF(OR($B60="",$L60=""),"",IF($G60="Completed",IF($J60="","",IF($J60&lt;=$L60,"Met","Missed")),IF(AsOf&gt;$L60,"Breached","Within SLA")))</f>
        <v/>
      </c>
      <c r="R60" s="34" t="str">
        <f aca="false">IF($B60="","",IF($G60="Completed",0,IFERROR(INDEX(Lists!$C$5:$C$7,MATCH($F60,Lists!$A$5:$A$7,0)),1)*IF($I60="",1,IF($I60&lt;AsOf,3,IF($I60-AsOf&lt;=Lists!$B$9,2,1)))))</f>
        <v/>
      </c>
      <c r="S60" s="37" t="str">
        <f aca="false">IF($B60="","",$R60+(1000-ROW())/100000)</f>
        <v/>
      </c>
      <c r="T60" s="36" t="str">
        <f aca="false">IF($B60="","",IF(AND($G60="Completed",$J60=""),"Missing completion date",IF(AND($G60&lt;&gt;"Completed",$J60&lt;&gt;""),"Completion date on open request",IF(AND($I60&lt;&gt;"",$I60&lt;$B60),"Deadline before raised","OK"))))</f>
        <v/>
      </c>
    </row>
    <row r="61" customFormat="false" ht="15" hidden="false" customHeight="false" outlineLevel="0" collapsed="false">
      <c r="A61" s="31" t="s">
        <v>184</v>
      </c>
      <c r="B61" s="32"/>
      <c r="C61" s="33"/>
      <c r="D61" s="33"/>
      <c r="E61" s="33"/>
      <c r="F61" s="31"/>
      <c r="G61" s="31"/>
      <c r="H61" s="33"/>
      <c r="I61" s="32"/>
      <c r="J61" s="32"/>
      <c r="K61" s="34" t="str">
        <f aca="false">IF($B61="","",IFERROR(INDEX(Lists!$B$5:$B$7,MATCH($F61,Lists!$A$5:$A$7,0)),""))</f>
        <v/>
      </c>
      <c r="L61" s="35" t="str">
        <f aca="false">IF(OR($B61="",$K61=""),"",WORKDAY($B61,$K61))</f>
        <v/>
      </c>
      <c r="M61" s="34" t="str">
        <f aca="false">IF(OR($B61="",$I61=""),"",IF($G61="Completed","",$I61-AsOf))</f>
        <v/>
      </c>
      <c r="N61" s="34" t="str">
        <f aca="false">IF(OR($B61="",$J61=""),"",$J61-$B61)</f>
        <v/>
      </c>
      <c r="O61" s="34" t="str">
        <f aca="false">IF($B61="","",IF($G61="Completed","",AsOf-$B61))</f>
        <v/>
      </c>
      <c r="P61" s="36" t="str">
        <f aca="false">IF($B61="","",IF($G61="Completed",IF(AND($J61&lt;&gt;"",$J61&gt;$I61),"Done (Late)","Done"),IF($I61="","No deadline",IF($I61&lt;AsOf,"OVERDUE",IF($I61-AsOf&lt;=Lists!$B$9,"Due Soon","On Track")))))</f>
        <v/>
      </c>
      <c r="Q61" s="36" t="str">
        <f aca="false">IF(OR($B61="",$L61=""),"",IF($G61="Completed",IF($J61="","",IF($J61&lt;=$L61,"Met","Missed")),IF(AsOf&gt;$L61,"Breached","Within SLA")))</f>
        <v/>
      </c>
      <c r="R61" s="34" t="str">
        <f aca="false">IF($B61="","",IF($G61="Completed",0,IFERROR(INDEX(Lists!$C$5:$C$7,MATCH($F61,Lists!$A$5:$A$7,0)),1)*IF($I61="",1,IF($I61&lt;AsOf,3,IF($I61-AsOf&lt;=Lists!$B$9,2,1)))))</f>
        <v/>
      </c>
      <c r="S61" s="37" t="str">
        <f aca="false">IF($B61="","",$R61+(1000-ROW())/100000)</f>
        <v/>
      </c>
      <c r="T61" s="36" t="str">
        <f aca="false">IF($B61="","",IF(AND($G61="Completed",$J61=""),"Missing completion date",IF(AND($G61&lt;&gt;"Completed",$J61&lt;&gt;""),"Completion date on open request",IF(AND($I61&lt;&gt;"",$I61&lt;$B61),"Deadline before raised","OK"))))</f>
        <v/>
      </c>
    </row>
    <row r="62" customFormat="false" ht="15" hidden="false" customHeight="false" outlineLevel="0" collapsed="false">
      <c r="A62" s="31" t="s">
        <v>185</v>
      </c>
      <c r="B62" s="32"/>
      <c r="C62" s="33"/>
      <c r="D62" s="33"/>
      <c r="E62" s="33"/>
      <c r="F62" s="31"/>
      <c r="G62" s="31"/>
      <c r="H62" s="33"/>
      <c r="I62" s="32"/>
      <c r="J62" s="32"/>
      <c r="K62" s="34" t="str">
        <f aca="false">IF($B62="","",IFERROR(INDEX(Lists!$B$5:$B$7,MATCH($F62,Lists!$A$5:$A$7,0)),""))</f>
        <v/>
      </c>
      <c r="L62" s="35" t="str">
        <f aca="false">IF(OR($B62="",$K62=""),"",WORKDAY($B62,$K62))</f>
        <v/>
      </c>
      <c r="M62" s="34" t="str">
        <f aca="false">IF(OR($B62="",$I62=""),"",IF($G62="Completed","",$I62-AsOf))</f>
        <v/>
      </c>
      <c r="N62" s="34" t="str">
        <f aca="false">IF(OR($B62="",$J62=""),"",$J62-$B62)</f>
        <v/>
      </c>
      <c r="O62" s="34" t="str">
        <f aca="false">IF($B62="","",IF($G62="Completed","",AsOf-$B62))</f>
        <v/>
      </c>
      <c r="P62" s="36" t="str">
        <f aca="false">IF($B62="","",IF($G62="Completed",IF(AND($J62&lt;&gt;"",$J62&gt;$I62),"Done (Late)","Done"),IF($I62="","No deadline",IF($I62&lt;AsOf,"OVERDUE",IF($I62-AsOf&lt;=Lists!$B$9,"Due Soon","On Track")))))</f>
        <v/>
      </c>
      <c r="Q62" s="36" t="str">
        <f aca="false">IF(OR($B62="",$L62=""),"",IF($G62="Completed",IF($J62="","",IF($J62&lt;=$L62,"Met","Missed")),IF(AsOf&gt;$L62,"Breached","Within SLA")))</f>
        <v/>
      </c>
      <c r="R62" s="34" t="str">
        <f aca="false">IF($B62="","",IF($G62="Completed",0,IFERROR(INDEX(Lists!$C$5:$C$7,MATCH($F62,Lists!$A$5:$A$7,0)),1)*IF($I62="",1,IF($I62&lt;AsOf,3,IF($I62-AsOf&lt;=Lists!$B$9,2,1)))))</f>
        <v/>
      </c>
      <c r="S62" s="37" t="str">
        <f aca="false">IF($B62="","",$R62+(1000-ROW())/100000)</f>
        <v/>
      </c>
      <c r="T62" s="36" t="str">
        <f aca="false">IF($B62="","",IF(AND($G62="Completed",$J62=""),"Missing completion date",IF(AND($G62&lt;&gt;"Completed",$J62&lt;&gt;""),"Completion date on open request",IF(AND($I62&lt;&gt;"",$I62&lt;$B62),"Deadline before raised","OK"))))</f>
        <v/>
      </c>
    </row>
    <row r="63" customFormat="false" ht="15" hidden="false" customHeight="false" outlineLevel="0" collapsed="false">
      <c r="A63" s="31" t="s">
        <v>186</v>
      </c>
      <c r="B63" s="32"/>
      <c r="C63" s="33"/>
      <c r="D63" s="33"/>
      <c r="E63" s="33"/>
      <c r="F63" s="31"/>
      <c r="G63" s="31"/>
      <c r="H63" s="33"/>
      <c r="I63" s="32"/>
      <c r="J63" s="32"/>
      <c r="K63" s="34" t="str">
        <f aca="false">IF($B63="","",IFERROR(INDEX(Lists!$B$5:$B$7,MATCH($F63,Lists!$A$5:$A$7,0)),""))</f>
        <v/>
      </c>
      <c r="L63" s="35" t="str">
        <f aca="false">IF(OR($B63="",$K63=""),"",WORKDAY($B63,$K63))</f>
        <v/>
      </c>
      <c r="M63" s="34" t="str">
        <f aca="false">IF(OR($B63="",$I63=""),"",IF($G63="Completed","",$I63-AsOf))</f>
        <v/>
      </c>
      <c r="N63" s="34" t="str">
        <f aca="false">IF(OR($B63="",$J63=""),"",$J63-$B63)</f>
        <v/>
      </c>
      <c r="O63" s="34" t="str">
        <f aca="false">IF($B63="","",IF($G63="Completed","",AsOf-$B63))</f>
        <v/>
      </c>
      <c r="P63" s="36" t="str">
        <f aca="false">IF($B63="","",IF($G63="Completed",IF(AND($J63&lt;&gt;"",$J63&gt;$I63),"Done (Late)","Done"),IF($I63="","No deadline",IF($I63&lt;AsOf,"OVERDUE",IF($I63-AsOf&lt;=Lists!$B$9,"Due Soon","On Track")))))</f>
        <v/>
      </c>
      <c r="Q63" s="36" t="str">
        <f aca="false">IF(OR($B63="",$L63=""),"",IF($G63="Completed",IF($J63="","",IF($J63&lt;=$L63,"Met","Missed")),IF(AsOf&gt;$L63,"Breached","Within SLA")))</f>
        <v/>
      </c>
      <c r="R63" s="34" t="str">
        <f aca="false">IF($B63="","",IF($G63="Completed",0,IFERROR(INDEX(Lists!$C$5:$C$7,MATCH($F63,Lists!$A$5:$A$7,0)),1)*IF($I63="",1,IF($I63&lt;AsOf,3,IF($I63-AsOf&lt;=Lists!$B$9,2,1)))))</f>
        <v/>
      </c>
      <c r="S63" s="37" t="str">
        <f aca="false">IF($B63="","",$R63+(1000-ROW())/100000)</f>
        <v/>
      </c>
      <c r="T63" s="36" t="str">
        <f aca="false">IF($B63="","",IF(AND($G63="Completed",$J63=""),"Missing completion date",IF(AND($G63&lt;&gt;"Completed",$J63&lt;&gt;""),"Completion date on open request",IF(AND($I63&lt;&gt;"",$I63&lt;$B63),"Deadline before raised","OK"))))</f>
        <v/>
      </c>
    </row>
    <row r="64" customFormat="false" ht="15" hidden="false" customHeight="false" outlineLevel="0" collapsed="false">
      <c r="A64" s="31" t="s">
        <v>187</v>
      </c>
      <c r="B64" s="32"/>
      <c r="C64" s="33"/>
      <c r="D64" s="33"/>
      <c r="E64" s="33"/>
      <c r="F64" s="31"/>
      <c r="G64" s="31"/>
      <c r="H64" s="33"/>
      <c r="I64" s="32"/>
      <c r="J64" s="32"/>
      <c r="K64" s="34" t="str">
        <f aca="false">IF($B64="","",IFERROR(INDEX(Lists!$B$5:$B$7,MATCH($F64,Lists!$A$5:$A$7,0)),""))</f>
        <v/>
      </c>
      <c r="L64" s="35" t="str">
        <f aca="false">IF(OR($B64="",$K64=""),"",WORKDAY($B64,$K64))</f>
        <v/>
      </c>
      <c r="M64" s="34" t="str">
        <f aca="false">IF(OR($B64="",$I64=""),"",IF($G64="Completed","",$I64-AsOf))</f>
        <v/>
      </c>
      <c r="N64" s="34" t="str">
        <f aca="false">IF(OR($B64="",$J64=""),"",$J64-$B64)</f>
        <v/>
      </c>
      <c r="O64" s="34" t="str">
        <f aca="false">IF($B64="","",IF($G64="Completed","",AsOf-$B64))</f>
        <v/>
      </c>
      <c r="P64" s="36" t="str">
        <f aca="false">IF($B64="","",IF($G64="Completed",IF(AND($J64&lt;&gt;"",$J64&gt;$I64),"Done (Late)","Done"),IF($I64="","No deadline",IF($I64&lt;AsOf,"OVERDUE",IF($I64-AsOf&lt;=Lists!$B$9,"Due Soon","On Track")))))</f>
        <v/>
      </c>
      <c r="Q64" s="36" t="str">
        <f aca="false">IF(OR($B64="",$L64=""),"",IF($G64="Completed",IF($J64="","",IF($J64&lt;=$L64,"Met","Missed")),IF(AsOf&gt;$L64,"Breached","Within SLA")))</f>
        <v/>
      </c>
      <c r="R64" s="34" t="str">
        <f aca="false">IF($B64="","",IF($G64="Completed",0,IFERROR(INDEX(Lists!$C$5:$C$7,MATCH($F64,Lists!$A$5:$A$7,0)),1)*IF($I64="",1,IF($I64&lt;AsOf,3,IF($I64-AsOf&lt;=Lists!$B$9,2,1)))))</f>
        <v/>
      </c>
      <c r="S64" s="37" t="str">
        <f aca="false">IF($B64="","",$R64+(1000-ROW())/100000)</f>
        <v/>
      </c>
      <c r="T64" s="36" t="str">
        <f aca="false">IF($B64="","",IF(AND($G64="Completed",$J64=""),"Missing completion date",IF(AND($G64&lt;&gt;"Completed",$J64&lt;&gt;""),"Completion date on open request",IF(AND($I64&lt;&gt;"",$I64&lt;$B64),"Deadline before raised","OK"))))</f>
        <v/>
      </c>
    </row>
    <row r="65" customFormat="false" ht="15" hidden="false" customHeight="false" outlineLevel="0" collapsed="false">
      <c r="A65" s="31" t="s">
        <v>188</v>
      </c>
      <c r="B65" s="32"/>
      <c r="C65" s="33"/>
      <c r="D65" s="33"/>
      <c r="E65" s="33"/>
      <c r="F65" s="31"/>
      <c r="G65" s="31"/>
      <c r="H65" s="33"/>
      <c r="I65" s="32"/>
      <c r="J65" s="32"/>
      <c r="K65" s="34" t="str">
        <f aca="false">IF($B65="","",IFERROR(INDEX(Lists!$B$5:$B$7,MATCH($F65,Lists!$A$5:$A$7,0)),""))</f>
        <v/>
      </c>
      <c r="L65" s="35" t="str">
        <f aca="false">IF(OR($B65="",$K65=""),"",WORKDAY($B65,$K65))</f>
        <v/>
      </c>
      <c r="M65" s="34" t="str">
        <f aca="false">IF(OR($B65="",$I65=""),"",IF($G65="Completed","",$I65-AsOf))</f>
        <v/>
      </c>
      <c r="N65" s="34" t="str">
        <f aca="false">IF(OR($B65="",$J65=""),"",$J65-$B65)</f>
        <v/>
      </c>
      <c r="O65" s="34" t="str">
        <f aca="false">IF($B65="","",IF($G65="Completed","",AsOf-$B65))</f>
        <v/>
      </c>
      <c r="P65" s="36" t="str">
        <f aca="false">IF($B65="","",IF($G65="Completed",IF(AND($J65&lt;&gt;"",$J65&gt;$I65),"Done (Late)","Done"),IF($I65="","No deadline",IF($I65&lt;AsOf,"OVERDUE",IF($I65-AsOf&lt;=Lists!$B$9,"Due Soon","On Track")))))</f>
        <v/>
      </c>
      <c r="Q65" s="36" t="str">
        <f aca="false">IF(OR($B65="",$L65=""),"",IF($G65="Completed",IF($J65="","",IF($J65&lt;=$L65,"Met","Missed")),IF(AsOf&gt;$L65,"Breached","Within SLA")))</f>
        <v/>
      </c>
      <c r="R65" s="34" t="str">
        <f aca="false">IF($B65="","",IF($G65="Completed",0,IFERROR(INDEX(Lists!$C$5:$C$7,MATCH($F65,Lists!$A$5:$A$7,0)),1)*IF($I65="",1,IF($I65&lt;AsOf,3,IF($I65-AsOf&lt;=Lists!$B$9,2,1)))))</f>
        <v/>
      </c>
      <c r="S65" s="37" t="str">
        <f aca="false">IF($B65="","",$R65+(1000-ROW())/100000)</f>
        <v/>
      </c>
      <c r="T65" s="36" t="str">
        <f aca="false">IF($B65="","",IF(AND($G65="Completed",$J65=""),"Missing completion date",IF(AND($G65&lt;&gt;"Completed",$J65&lt;&gt;""),"Completion date on open request",IF(AND($I65&lt;&gt;"",$I65&lt;$B65),"Deadline before raised","OK"))))</f>
        <v/>
      </c>
    </row>
  </sheetData>
  <autoFilter ref="A5:T65"/>
  <conditionalFormatting sqref="A6:T65">
    <cfRule type="expression" priority="2" aboveAverage="0" equalAverage="0" bottom="0" percent="0" rank="0" text="" dxfId="2">
      <formula>$P6="OVERDUE"</formula>
    </cfRule>
    <cfRule type="expression" priority="3" aboveAverage="0" equalAverage="0" bottom="0" percent="0" rank="0" text="" dxfId="17">
      <formula>LEFT($P6,4)="Done"</formula>
    </cfRule>
    <cfRule type="expression" priority="4" aboveAverage="0" equalAverage="0" bottom="0" percent="0" rank="0" text="" dxfId="3">
      <formula>$P6="Due Soon"</formula>
    </cfRule>
  </conditionalFormatting>
  <conditionalFormatting sqref="F6:F65">
    <cfRule type="expression" priority="5" aboveAverage="0" equalAverage="0" bottom="0" percent="0" rank="0" text="" dxfId="0">
      <formula>$F6="High"</formula>
    </cfRule>
  </conditionalFormatting>
  <conditionalFormatting sqref="Q6:Q65">
    <cfRule type="expression" priority="6" aboveAverage="0" equalAverage="0" bottom="0" percent="0" rank="0" text="" dxfId="0">
      <formula>OR($Q6="Breached",$Q6="Missed")</formula>
    </cfRule>
  </conditionalFormatting>
  <conditionalFormatting sqref="R6:R65">
    <cfRule type="colorScale" priority="7">
      <colorScale>
        <cfvo type="num" val="0"/>
        <cfvo type="num" val="9"/>
        <color rgb="FFFFFFFF"/>
        <color rgb="FFF4B183"/>
      </colorScale>
    </cfRule>
  </conditionalFormatting>
  <conditionalFormatting sqref="T6:T65">
    <cfRule type="expression" priority="8" aboveAverage="0" equalAverage="0" bottom="0" percent="0" rank="0" text="" dxfId="18">
      <formula>AND($T6&lt;&gt;"",$T6&lt;&gt;"OK")</formula>
    </cfRule>
  </conditionalFormatting>
  <dataValidations count="7">
    <dataValidation allowBlank="true" error="Pick a department from the list." errorStyle="stop" errorTitle="Invalid department" operator="between" showDropDown="false" showErrorMessage="true" showInputMessage="false" sqref="C6:C65" type="list">
      <formula1>Lists!$G$5:$G$12</formula1>
      <formula2>0</formula2>
    </dataValidation>
    <dataValidation allowBlank="true" error="Pick a request type from the list." errorStyle="stop" errorTitle="Invalid type" operator="between" showDropDown="false" showErrorMessage="true" showInputMessage="false" sqref="D6:D65" type="list">
      <formula1>Lists!$I$5:$I$11</formula1>
      <formula2>0</formula2>
    </dataValidation>
    <dataValidation allowBlank="true" error="Choose High, Medium or Low." errorStyle="stop" errorTitle="Invalid priority" operator="between" showDropDown="false" showErrorMessage="true" showInputMessage="false" sqref="F6:F65" type="list">
      <formula1>Lists!$A$5:$A$7</formula1>
      <formula2>0</formula2>
    </dataValidation>
    <dataValidation allowBlank="true" error="Choose Pending, In Progress or Completed." errorStyle="stop" errorTitle="Invalid status" operator="between" showDropDown="false" showErrorMessage="true" showInputMessage="false" sqref="G6:G65" type="list">
      <formula1>Lists!$E$5:$E$7</formula1>
      <formula2>0</formula2>
    </dataValidation>
    <dataValidation allowBlank="true" error="Pick a name from the Team sheet." errorStyle="stop" errorTitle="Unknown assignee" operator="between" showDropDown="false" showErrorMessage="true" showInputMessage="false" sqref="H6:H65" type="list">
      <formula1>Team!$A$5:$A$12</formula1>
      <formula2>0</formula2>
    </dataValidation>
    <dataValidation allowBlank="true" error="Enter a valid date, e.g. 30-Oct-2026." errorStyle="stop" errorTitle="Invalid date" operator="greaterThan" showDropDown="false" showErrorMessage="true" showInputMessage="false" sqref="B6:B65 J6:J65" type="date">
      <formula1>36526</formula1>
      <formula2>0</formula2>
    </dataValidation>
    <dataValidation allowBlank="true" error="Deadline cannot be before the date the request was raised." errorStyle="stop" errorTitle="Deadline too early" operator="between" showDropDown="false" showErrorMessage="true" showInputMessage="false" sqref="I6:I65" type="custom">
      <formula1>OR(I6="",B6="",I6&gt;=B6)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38" t="s">
        <v>189</v>
      </c>
    </row>
    <row r="2" customFormat="false" ht="15" hidden="false" customHeight="false" outlineLevel="0" collapsed="false">
      <c r="A2" s="4" t="s">
        <v>190</v>
      </c>
    </row>
    <row r="4" customFormat="false" ht="15" hidden="false" customHeight="false" outlineLevel="0" collapsed="false">
      <c r="A4" s="39" t="s">
        <v>191</v>
      </c>
      <c r="B4" s="39" t="s">
        <v>22</v>
      </c>
      <c r="C4" s="39" t="s">
        <v>27</v>
      </c>
    </row>
    <row r="5" customFormat="false" ht="15" hidden="false" customHeight="false" outlineLevel="0" collapsed="false">
      <c r="A5" s="12" t="s">
        <v>80</v>
      </c>
      <c r="B5" s="12" t="s">
        <v>77</v>
      </c>
      <c r="C5" s="40" t="n">
        <v>8</v>
      </c>
    </row>
    <row r="6" customFormat="false" ht="15" hidden="false" customHeight="false" outlineLevel="0" collapsed="false">
      <c r="A6" s="12" t="s">
        <v>70</v>
      </c>
      <c r="B6" s="12" t="s">
        <v>67</v>
      </c>
      <c r="C6" s="40" t="n">
        <v>8</v>
      </c>
    </row>
    <row r="7" customFormat="false" ht="15" hidden="false" customHeight="false" outlineLevel="0" collapsed="false">
      <c r="A7" s="12" t="s">
        <v>75</v>
      </c>
      <c r="B7" s="12" t="s">
        <v>72</v>
      </c>
      <c r="C7" s="40" t="n">
        <v>7</v>
      </c>
    </row>
    <row r="8" customFormat="false" ht="15" hidden="false" customHeight="false" outlineLevel="0" collapsed="false">
      <c r="A8" s="12" t="s">
        <v>85</v>
      </c>
      <c r="B8" s="12" t="s">
        <v>82</v>
      </c>
      <c r="C8" s="40" t="n">
        <v>6</v>
      </c>
    </row>
    <row r="9" customFormat="false" ht="15" hidden="false" customHeight="false" outlineLevel="0" collapsed="false">
      <c r="A9" s="12" t="s">
        <v>90</v>
      </c>
      <c r="B9" s="12" t="s">
        <v>87</v>
      </c>
      <c r="C9" s="40" t="n">
        <v>7</v>
      </c>
    </row>
    <row r="10" customFormat="false" ht="15" hidden="false" customHeight="false" outlineLevel="0" collapsed="false">
      <c r="A10" s="12" t="s">
        <v>102</v>
      </c>
      <c r="B10" s="12" t="s">
        <v>100</v>
      </c>
      <c r="C10" s="40" t="n">
        <v>5</v>
      </c>
    </row>
    <row r="11" customFormat="false" ht="15" hidden="false" customHeight="false" outlineLevel="0" collapsed="false">
      <c r="A11" s="12" t="s">
        <v>109</v>
      </c>
      <c r="B11" s="12" t="s">
        <v>107</v>
      </c>
      <c r="C11" s="40" t="n">
        <v>6</v>
      </c>
    </row>
    <row r="12" customFormat="false" ht="15" hidden="false" customHeight="false" outlineLevel="0" collapsed="false">
      <c r="A12" s="12" t="s">
        <v>98</v>
      </c>
      <c r="B12" s="12" t="s">
        <v>77</v>
      </c>
      <c r="C12" s="4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8" min="8" style="0" width="3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38" t="s">
        <v>192</v>
      </c>
    </row>
    <row r="2" customFormat="false" ht="15" hidden="false" customHeight="false" outlineLevel="0" collapsed="false">
      <c r="A2" s="4" t="s">
        <v>193</v>
      </c>
    </row>
    <row r="4" customFormat="false" ht="15" hidden="false" customHeight="false" outlineLevel="0" collapsed="false">
      <c r="A4" s="41" t="s">
        <v>13</v>
      </c>
      <c r="B4" s="41" t="s">
        <v>194</v>
      </c>
      <c r="C4" s="41" t="s">
        <v>195</v>
      </c>
      <c r="E4" s="41" t="s">
        <v>56</v>
      </c>
      <c r="G4" s="41" t="s">
        <v>22</v>
      </c>
      <c r="I4" s="41" t="s">
        <v>55</v>
      </c>
    </row>
    <row r="5" customFormat="false" ht="15" hidden="false" customHeight="false" outlineLevel="0" collapsed="false">
      <c r="A5" s="42" t="s">
        <v>18</v>
      </c>
      <c r="B5" s="43" t="n">
        <v>2</v>
      </c>
      <c r="C5" s="43" t="n">
        <v>3</v>
      </c>
      <c r="E5" s="42" t="s">
        <v>14</v>
      </c>
      <c r="G5" s="42" t="s">
        <v>67</v>
      </c>
      <c r="I5" s="42" t="s">
        <v>68</v>
      </c>
    </row>
    <row r="6" customFormat="false" ht="15" hidden="false" customHeight="false" outlineLevel="0" collapsed="false">
      <c r="A6" s="42" t="s">
        <v>19</v>
      </c>
      <c r="B6" s="43" t="n">
        <v>5</v>
      </c>
      <c r="C6" s="43" t="n">
        <v>2</v>
      </c>
      <c r="E6" s="42" t="s">
        <v>15</v>
      </c>
      <c r="G6" s="42" t="s">
        <v>72</v>
      </c>
      <c r="I6" s="42" t="s">
        <v>73</v>
      </c>
    </row>
    <row r="7" customFormat="false" ht="15" hidden="false" customHeight="false" outlineLevel="0" collapsed="false">
      <c r="A7" s="42" t="s">
        <v>20</v>
      </c>
      <c r="B7" s="43" t="n">
        <v>8</v>
      </c>
      <c r="C7" s="43" t="n">
        <v>1</v>
      </c>
      <c r="E7" s="42" t="s">
        <v>16</v>
      </c>
      <c r="G7" s="42" t="s">
        <v>77</v>
      </c>
      <c r="I7" s="42" t="s">
        <v>78</v>
      </c>
    </row>
    <row r="8" customFormat="false" ht="15" hidden="false" customHeight="false" outlineLevel="0" collapsed="false">
      <c r="G8" s="42" t="s">
        <v>82</v>
      </c>
      <c r="I8" s="42" t="s">
        <v>92</v>
      </c>
    </row>
    <row r="9" customFormat="false" ht="15" hidden="false" customHeight="false" outlineLevel="0" collapsed="false">
      <c r="A9" s="44" t="s">
        <v>196</v>
      </c>
      <c r="B9" s="45" t="n">
        <v>2</v>
      </c>
      <c r="G9" s="42" t="s">
        <v>87</v>
      </c>
      <c r="I9" s="42" t="s">
        <v>83</v>
      </c>
    </row>
    <row r="10" customFormat="false" ht="15" hidden="false" customHeight="false" outlineLevel="0" collapsed="false">
      <c r="A10" s="4" t="s">
        <v>197</v>
      </c>
      <c r="G10" s="42" t="s">
        <v>100</v>
      </c>
      <c r="I10" s="42" t="s">
        <v>88</v>
      </c>
    </row>
    <row r="11" customFormat="false" ht="15" hidden="false" customHeight="false" outlineLevel="0" collapsed="false">
      <c r="G11" s="42" t="s">
        <v>104</v>
      </c>
      <c r="I11" s="42" t="s">
        <v>119</v>
      </c>
    </row>
    <row r="12" customFormat="false" ht="15" hidden="false" customHeight="false" outlineLevel="0" collapsed="false">
      <c r="G12" s="4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38" t="s">
        <v>198</v>
      </c>
    </row>
    <row r="2" customFormat="false" ht="15" hidden="false" customHeight="false" outlineLevel="0" collapsed="false">
      <c r="A2" s="46" t="s">
        <v>199</v>
      </c>
    </row>
    <row r="3" customFormat="false" ht="15" hidden="false" customHeight="false" outlineLevel="0" collapsed="false">
      <c r="A3" s="46" t="s">
        <v>200</v>
      </c>
    </row>
    <row r="4" customFormat="false" ht="15" hidden="false" customHeight="false" outlineLevel="0" collapsed="false">
      <c r="A4" s="46" t="s">
        <v>201</v>
      </c>
    </row>
    <row r="5" customFormat="false" ht="15" hidden="false" customHeight="false" outlineLevel="0" collapsed="false">
      <c r="A5" s="46" t="s">
        <v>202</v>
      </c>
    </row>
    <row r="6" customFormat="false" ht="15" hidden="false" customHeight="false" outlineLevel="0" collapsed="false">
      <c r="A6" s="46" t="s">
        <v>203</v>
      </c>
    </row>
    <row r="7" customFormat="false" ht="15" hidden="false" customHeight="false" outlineLevel="0" collapsed="false">
      <c r="A7" s="46" t="s">
        <v>204</v>
      </c>
    </row>
    <row r="8" customFormat="false" ht="15" hidden="false" customHeight="false" outlineLevel="0" collapsed="false">
      <c r="A8" s="46" t="s">
        <v>205</v>
      </c>
    </row>
    <row r="9" customFormat="false" ht="15" hidden="false" customHeight="false" outlineLevel="0" collapsed="false">
      <c r="A9" s="46" t="s">
        <v>206</v>
      </c>
    </row>
    <row r="10" customFormat="false" ht="15" hidden="false" customHeight="false" outlineLevel="0" collapsed="false">
      <c r="A10" s="46" t="s">
        <v>207</v>
      </c>
    </row>
    <row r="11" customFormat="false" ht="15" hidden="false" customHeight="false" outlineLevel="0" collapsed="false">
      <c r="A11" s="46" t="s">
        <v>208</v>
      </c>
    </row>
    <row r="12" customFormat="false" ht="15" hidden="false" customHeight="false" outlineLevel="0" collapsed="false">
      <c r="A12" s="46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2026-10-26T14:44:13Z</dcterms:created>
  <dc:creator>openpyxl</dc:creator>
  <dc:description/>
  <dc:language>en-US</dc:language>
  <cp:lastModifiedBy/>
  <dcterms:modified xsi:type="dcterms:W3CDTF">2026-10-26T19:44:16Z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